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ILY TIMETABLE" sheetId="2" state="visible" r:id="rId2"/>
    <sheet xmlns:r="http://schemas.openxmlformats.org/officeDocument/2006/relationships" name="DAILY STUDY PLAN" sheetId="3" state="visible" r:id="rId3"/>
    <sheet xmlns:r="http://schemas.openxmlformats.org/officeDocument/2006/relationships" name="ALL TOPICS CHECKLIST" sheetId="4" state="visible" r:id="rId4"/>
  </sheets>
  <definedNames>
    <definedName name="_xlnm._FilterDatabase" localSheetId="1" hidden="1">'DAILY TIMETABLE'!$A$1:$D$13</definedName>
    <definedName name="_xlnm._FilterDatabase" localSheetId="2" hidden="1">'DAILY STUDY PLAN'!$A$1:$U$516</definedName>
    <definedName name="_xlnm._FilterDatabase" localSheetId="3" hidden="1">'ALL TOPICS CHECKLIST'!$A$1:$L$516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Segoe UI"/>
      <b val="1"/>
      <color rgb="002F3542"/>
      <sz val="20"/>
    </font>
    <font>
      <b val="1"/>
      <sz val="12"/>
    </font>
    <font>
      <name val="Segoe UI"/>
      <sz val="10"/>
    </font>
    <font>
      <name val="Segoe UI"/>
      <b val="1"/>
      <sz val="10"/>
    </font>
    <font>
      <name val="Segoe UI"/>
      <b val="1"/>
      <color rgb="00FFFFFF"/>
      <sz val="11"/>
    </font>
  </fonts>
  <fills count="4">
    <fill>
      <patternFill/>
    </fill>
    <fill>
      <patternFill patternType="gray125"/>
    </fill>
    <fill>
      <patternFill patternType="solid">
        <fgColor rgb="00E0E0E0"/>
        <bgColor rgb="00E0E0E0"/>
      </patternFill>
    </fill>
    <fill>
      <patternFill patternType="solid">
        <fgColor rgb="002F3542"/>
        <bgColor rgb="002F3542"/>
      </patternFill>
    </fill>
  </fills>
  <borders count="3">
    <border>
      <left/>
      <right/>
      <top/>
      <bottom/>
      <diagonal/>
    </border>
    <border>
      <bottom style="thick"/>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1" pivotButton="0" quotePrefix="0" xfId="0"/>
    <xf numFmtId="0" fontId="3" fillId="0" borderId="2" pivotButton="0" quotePrefix="0" xfId="0"/>
    <xf numFmtId="0" fontId="4" fillId="0" borderId="2" pivotButton="0" quotePrefix="0" xfId="0"/>
    <xf numFmtId="0" fontId="4" fillId="2" borderId="2" pivotButton="0" quotePrefix="0" xfId="0"/>
    <xf numFmtId="164" fontId="3" fillId="0" borderId="2" pivotButton="0" quotePrefix="0" xfId="0"/>
    <xf numFmtId="164" fontId="4" fillId="0" borderId="2" pivotButton="0" quotePrefix="0" xfId="0"/>
    <xf numFmtId="0" fontId="5" fillId="3" borderId="2" applyAlignment="1" pivotButton="0" quotePrefix="0" xfId="0">
      <alignment horizontal="center" vertical="center" wrapText="1"/>
    </xf>
    <xf numFmtId="0" fontId="3" fillId="0" borderId="2" applyAlignment="1" pivotButton="0" quotePrefix="0" xfId="0">
      <alignment horizontal="left" vertical="center" wrapText="1"/>
    </xf>
    <xf numFmtId="0" fontId="3" fillId="0" borderId="2" applyAlignment="1" pivotButton="0" quotePrefix="0" xfId="0">
      <alignment horizontal="center" vertical="center" wrapText="1"/>
    </xf>
  </cellXfs>
  <cellStyles count="1">
    <cellStyle name="Normal" xfId="0" builtinId="0" hidden="0"/>
  </cellStyles>
  <dxfs count="1">
    <dxf>
      <font>
        <b val="1"/>
        <color rgb="003C763D"/>
      </font>
      <fill>
        <patternFill patternType="solid">
          <fgColor rgb="00DFF0D8"/>
          <bgColor rgb="00DFF0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31"/>
  <sheetViews>
    <sheetView showGridLines="0" workbookViewId="0">
      <selection activeCell="A1" sqref="A1"/>
    </sheetView>
  </sheetViews>
  <sheetFormatPr baseColWidth="8" defaultRowHeight="15"/>
  <cols>
    <col width="25" customWidth="1" min="2" max="2"/>
    <col width="15" customWidth="1" min="3" max="3"/>
    <col width="25" customWidth="1" min="6" max="6"/>
    <col width="12" customWidth="1" min="7" max="7"/>
    <col width="12" customWidth="1" min="8" max="8"/>
    <col width="20" customWidth="1" min="9" max="9"/>
  </cols>
  <sheetData>
    <row r="2">
      <c r="B2" s="1" t="inlineStr">
        <is>
          <t>120-DAY AI/ML ENGINEER STUDY TRACKER</t>
        </is>
      </c>
    </row>
    <row r="3"/>
    <row r="5">
      <c r="B5" s="2" t="inlineStr">
        <is>
          <t>OVERALL METRICS</t>
        </is>
      </c>
      <c r="F5" s="2" t="inlineStr">
        <is>
          <t>SUBJECT PROGRESS</t>
        </is>
      </c>
    </row>
    <row r="6">
      <c r="B6" s="3" t="inlineStr">
        <is>
          <t>Total Topics</t>
        </is>
      </c>
      <c r="C6" s="4">
        <f>COUNTA('DAILY STUDY PLAN'!G2:G2000)</f>
        <v/>
      </c>
      <c r="F6" s="5" t="inlineStr">
        <is>
          <t>Subject</t>
        </is>
      </c>
      <c r="G6" s="5" t="inlineStr">
        <is>
          <t>Total</t>
        </is>
      </c>
      <c r="H6" s="5" t="inlineStr">
        <is>
          <t>Completed</t>
        </is>
      </c>
      <c r="I6" s="5" t="inlineStr">
        <is>
          <t>Progress %</t>
        </is>
      </c>
    </row>
    <row r="7">
      <c r="B7" s="3" t="inlineStr">
        <is>
          <t>Completed Topics</t>
        </is>
      </c>
      <c r="C7" s="4">
        <f>COUNTIF('DAILY STUDY PLAN'!T2:T2000, "COMPLETED")</f>
        <v/>
      </c>
      <c r="F7" s="3" t="inlineStr">
        <is>
          <t>Python</t>
        </is>
      </c>
      <c r="G7" s="3">
        <f>COUNTIF('DAILY STUDY PLAN'!F:F, "Python")</f>
        <v/>
      </c>
      <c r="H7" s="3">
        <f>COUNTIFS('DAILY STUDY PLAN'!F:F, "Python", 'DAILY STUDY PLAN'!T:T, "COMPLETED")</f>
        <v/>
      </c>
      <c r="I7" s="6">
        <f>IFERROR(H7/G7, 0)</f>
        <v/>
      </c>
    </row>
    <row r="8">
      <c r="B8" s="3" t="inlineStr">
        <is>
          <t>Remaining Topics</t>
        </is>
      </c>
      <c r="C8" s="4">
        <f>B6-B7</f>
        <v/>
      </c>
      <c r="F8" s="3" t="inlineStr">
        <is>
          <t>NumPy</t>
        </is>
      </c>
      <c r="G8" s="3">
        <f>COUNTIF('DAILY STUDY PLAN'!F:F, "NumPy")</f>
        <v/>
      </c>
      <c r="H8" s="3">
        <f>COUNTIFS('DAILY STUDY PLAN'!F:F, "NumPy", 'DAILY STUDY PLAN'!T:T, "COMPLETED")</f>
        <v/>
      </c>
      <c r="I8" s="6">
        <f>IFERROR(H8/G8, 0)</f>
        <v/>
      </c>
    </row>
    <row r="9">
      <c r="B9" s="3" t="inlineStr">
        <is>
          <t>Overall Completion %</t>
        </is>
      </c>
      <c r="C9" s="7">
        <f>IFERROR(B7/B6, 0)</f>
        <v/>
      </c>
      <c r="F9" s="3" t="inlineStr">
        <is>
          <t>Pandas</t>
        </is>
      </c>
      <c r="G9" s="3">
        <f>COUNTIF('DAILY STUDY PLAN'!F:F, "Pandas")</f>
        <v/>
      </c>
      <c r="H9" s="3">
        <f>COUNTIFS('DAILY STUDY PLAN'!F:F, "Pandas", 'DAILY STUDY PLAN'!T:T, "COMPLETED")</f>
        <v/>
      </c>
      <c r="I9" s="6">
        <f>IFERROR(H9/G9, 0)</f>
        <v/>
      </c>
    </row>
    <row r="10">
      <c r="B10" s="3" t="inlineStr">
        <is>
          <t>Total Days</t>
        </is>
      </c>
      <c r="C10" s="4" t="inlineStr">
        <is>
          <t>120</t>
        </is>
      </c>
      <c r="F10" s="3" t="inlineStr">
        <is>
          <t>SQL</t>
        </is>
      </c>
      <c r="G10" s="3">
        <f>COUNTIF('DAILY STUDY PLAN'!F:F, "SQL")</f>
        <v/>
      </c>
      <c r="H10" s="3">
        <f>COUNTIFS('DAILY STUDY PLAN'!F:F, "SQL", 'DAILY STUDY PLAN'!T:T, "COMPLETED")</f>
        <v/>
      </c>
      <c r="I10" s="6">
        <f>IFERROR(H10/G10, 0)</f>
        <v/>
      </c>
    </row>
    <row r="11">
      <c r="B11" s="3" t="inlineStr">
        <is>
          <t>Mock Interviews</t>
        </is>
      </c>
      <c r="C11" s="4">
        <f>COUNTIF('DAILY STUDY PLAN'!H2:H2000, "*Mock*")</f>
        <v/>
      </c>
      <c r="F11" s="3" t="inlineStr">
        <is>
          <t>Math</t>
        </is>
      </c>
      <c r="G11" s="3">
        <f>COUNTIF('DAILY STUDY PLAN'!F:F, "Math")</f>
        <v/>
      </c>
      <c r="H11" s="3">
        <f>COUNTIFS('DAILY STUDY PLAN'!F:F, "Math", 'DAILY STUDY PLAN'!T:T, "COMPLETED")</f>
        <v/>
      </c>
      <c r="I11" s="6">
        <f>IFERROR(H11/G11, 0)</f>
        <v/>
      </c>
    </row>
    <row r="12">
      <c r="F12" s="3" t="inlineStr">
        <is>
          <t>Machine Learning</t>
        </is>
      </c>
      <c r="G12" s="3">
        <f>COUNTIF('DAILY STUDY PLAN'!F:F, "Machine Learning")</f>
        <v/>
      </c>
      <c r="H12" s="3">
        <f>COUNTIFS('DAILY STUDY PLAN'!F:F, "Machine Learning", 'DAILY STUDY PLAN'!T:T, "COMPLETED")</f>
        <v/>
      </c>
      <c r="I12" s="6">
        <f>IFERROR(H12/G12, 0)</f>
        <v/>
      </c>
    </row>
    <row r="13">
      <c r="F13" s="3" t="inlineStr">
        <is>
          <t>Deep Learning</t>
        </is>
      </c>
      <c r="G13" s="3">
        <f>COUNTIF('DAILY STUDY PLAN'!F:F, "Deep Learning")</f>
        <v/>
      </c>
      <c r="H13" s="3">
        <f>COUNTIFS('DAILY STUDY PLAN'!F:F, "Deep Learning", 'DAILY STUDY PLAN'!T:T, "COMPLETED")</f>
        <v/>
      </c>
      <c r="I13" s="6">
        <f>IFERROR(H13/G13, 0)</f>
        <v/>
      </c>
    </row>
    <row r="14">
      <c r="F14" s="3" t="inlineStr">
        <is>
          <t>PyTorch</t>
        </is>
      </c>
      <c r="G14" s="3">
        <f>COUNTIF('DAILY STUDY PLAN'!F:F, "PyTorch")</f>
        <v/>
      </c>
      <c r="H14" s="3">
        <f>COUNTIFS('DAILY STUDY PLAN'!F:F, "PyTorch", 'DAILY STUDY PLAN'!T:T, "COMPLETED")</f>
        <v/>
      </c>
      <c r="I14" s="6">
        <f>IFERROR(H14/G14, 0)</f>
        <v/>
      </c>
    </row>
    <row r="15">
      <c r="F15" s="3" t="inlineStr">
        <is>
          <t>TensorFlow</t>
        </is>
      </c>
      <c r="G15" s="3">
        <f>COUNTIF('DAILY STUDY PLAN'!F:F, "TensorFlow")</f>
        <v/>
      </c>
      <c r="H15" s="3">
        <f>COUNTIFS('DAILY STUDY PLAN'!F:F, "TensorFlow", 'DAILY STUDY PLAN'!T:T, "COMPLETED")</f>
        <v/>
      </c>
      <c r="I15" s="6">
        <f>IFERROR(H15/G15, 0)</f>
        <v/>
      </c>
    </row>
    <row r="16">
      <c r="F16" s="3" t="inlineStr">
        <is>
          <t>Computer Vision</t>
        </is>
      </c>
      <c r="G16" s="3">
        <f>COUNTIF('DAILY STUDY PLAN'!F:F, "Computer Vision")</f>
        <v/>
      </c>
      <c r="H16" s="3">
        <f>COUNTIFS('DAILY STUDY PLAN'!F:F, "Computer Vision", 'DAILY STUDY PLAN'!T:T, "COMPLETED")</f>
        <v/>
      </c>
      <c r="I16" s="6">
        <f>IFERROR(H16/G16, 0)</f>
        <v/>
      </c>
    </row>
    <row r="17">
      <c r="F17" s="3" t="inlineStr">
        <is>
          <t>NLP</t>
        </is>
      </c>
      <c r="G17" s="3">
        <f>COUNTIF('DAILY STUDY PLAN'!F:F, "NLP")</f>
        <v/>
      </c>
      <c r="H17" s="3">
        <f>COUNTIFS('DAILY STUDY PLAN'!F:F, "NLP", 'DAILY STUDY PLAN'!T:T, "COMPLETED")</f>
        <v/>
      </c>
      <c r="I17" s="6">
        <f>IFERROR(H17/G17, 0)</f>
        <v/>
      </c>
    </row>
    <row r="18">
      <c r="F18" s="3" t="inlineStr">
        <is>
          <t>Generative AI</t>
        </is>
      </c>
      <c r="G18" s="3">
        <f>COUNTIF('DAILY STUDY PLAN'!F:F, "Generative AI")</f>
        <v/>
      </c>
      <c r="H18" s="3">
        <f>COUNTIFS('DAILY STUDY PLAN'!F:F, "Generative AI", 'DAILY STUDY PLAN'!T:T, "COMPLETED")</f>
        <v/>
      </c>
      <c r="I18" s="6">
        <f>IFERROR(H18/G18, 0)</f>
        <v/>
      </c>
    </row>
    <row r="19">
      <c r="F19" s="3" t="inlineStr">
        <is>
          <t>Prompt Engineering</t>
        </is>
      </c>
      <c r="G19" s="3">
        <f>COUNTIF('DAILY STUDY PLAN'!F:F, "Prompt Engineering")</f>
        <v/>
      </c>
      <c r="H19" s="3">
        <f>COUNTIFS('DAILY STUDY PLAN'!F:F, "Prompt Engineering", 'DAILY STUDY PLAN'!T:T, "COMPLETED")</f>
        <v/>
      </c>
      <c r="I19" s="6">
        <f>IFERROR(H19/G19, 0)</f>
        <v/>
      </c>
    </row>
    <row r="20">
      <c r="F20" s="3" t="inlineStr">
        <is>
          <t>Transformers</t>
        </is>
      </c>
      <c r="G20" s="3">
        <f>COUNTIF('DAILY STUDY PLAN'!F:F, "Transformers")</f>
        <v/>
      </c>
      <c r="H20" s="3">
        <f>COUNTIFS('DAILY STUDY PLAN'!F:F, "Transformers", 'DAILY STUDY PLAN'!T:T, "COMPLETED")</f>
        <v/>
      </c>
      <c r="I20" s="6">
        <f>IFERROR(H20/G20, 0)</f>
        <v/>
      </c>
    </row>
    <row r="21">
      <c r="F21" s="3" t="inlineStr">
        <is>
          <t>Hugging Face</t>
        </is>
      </c>
      <c r="G21" s="3">
        <f>COUNTIF('DAILY STUDY PLAN'!F:F, "Hugging Face")</f>
        <v/>
      </c>
      <c r="H21" s="3">
        <f>COUNTIFS('DAILY STUDY PLAN'!F:F, "Hugging Face", 'DAILY STUDY PLAN'!T:T, "COMPLETED")</f>
        <v/>
      </c>
      <c r="I21" s="6">
        <f>IFERROR(H21/G21, 0)</f>
        <v/>
      </c>
    </row>
    <row r="22">
      <c r="F22" s="3" t="inlineStr">
        <is>
          <t>Fine-Tuning</t>
        </is>
      </c>
      <c r="G22" s="3">
        <f>COUNTIF('DAILY STUDY PLAN'!F:F, "Fine-Tuning")</f>
        <v/>
      </c>
      <c r="H22" s="3">
        <f>COUNTIFS('DAILY STUDY PLAN'!F:F, "Fine-Tuning", 'DAILY STUDY PLAN'!T:T, "COMPLETED")</f>
        <v/>
      </c>
      <c r="I22" s="6">
        <f>IFERROR(H22/G22, 0)</f>
        <v/>
      </c>
    </row>
    <row r="23">
      <c r="F23" s="3" t="inlineStr">
        <is>
          <t>RAG</t>
        </is>
      </c>
      <c r="G23" s="3">
        <f>COUNTIF('DAILY STUDY PLAN'!F:F, "RAG")</f>
        <v/>
      </c>
      <c r="H23" s="3">
        <f>COUNTIFS('DAILY STUDY PLAN'!F:F, "RAG", 'DAILY STUDY PLAN'!T:T, "COMPLETED")</f>
        <v/>
      </c>
      <c r="I23" s="6">
        <f>IFERROR(H23/G23, 0)</f>
        <v/>
      </c>
    </row>
    <row r="24">
      <c r="F24" s="3" t="inlineStr">
        <is>
          <t>Vector DB</t>
        </is>
      </c>
      <c r="G24" s="3">
        <f>COUNTIF('DAILY STUDY PLAN'!F:F, "Vector DB")</f>
        <v/>
      </c>
      <c r="H24" s="3">
        <f>COUNTIFS('DAILY STUDY PLAN'!F:F, "Vector DB", 'DAILY STUDY PLAN'!T:T, "COMPLETED")</f>
        <v/>
      </c>
      <c r="I24" s="6">
        <f>IFERROR(H24/G24, 0)</f>
        <v/>
      </c>
    </row>
    <row r="25">
      <c r="F25" s="3" t="inlineStr">
        <is>
          <t>LangChain</t>
        </is>
      </c>
      <c r="G25" s="3">
        <f>COUNTIF('DAILY STUDY PLAN'!F:F, "LangChain")</f>
        <v/>
      </c>
      <c r="H25" s="3">
        <f>COUNTIFS('DAILY STUDY PLAN'!F:F, "LangChain", 'DAILY STUDY PLAN'!T:T, "COMPLETED")</f>
        <v/>
      </c>
      <c r="I25" s="6">
        <f>IFERROR(H25/G25, 0)</f>
        <v/>
      </c>
    </row>
    <row r="26">
      <c r="F26" s="3" t="inlineStr">
        <is>
          <t>LangGraph</t>
        </is>
      </c>
      <c r="G26" s="3">
        <f>COUNTIF('DAILY STUDY PLAN'!F:F, "LangGraph")</f>
        <v/>
      </c>
      <c r="H26" s="3">
        <f>COUNTIFS('DAILY STUDY PLAN'!F:F, "LangGraph", 'DAILY STUDY PLAN'!T:T, "COMPLETED")</f>
        <v/>
      </c>
      <c r="I26" s="6">
        <f>IFERROR(H26/G26, 0)</f>
        <v/>
      </c>
    </row>
    <row r="27">
      <c r="F27" s="3" t="inlineStr">
        <is>
          <t>FastAPI</t>
        </is>
      </c>
      <c r="G27" s="3">
        <f>COUNTIF('DAILY STUDY PLAN'!F:F, "FastAPI")</f>
        <v/>
      </c>
      <c r="H27" s="3">
        <f>COUNTIFS('DAILY STUDY PLAN'!F:F, "FastAPI", 'DAILY STUDY PLAN'!T:T, "COMPLETED")</f>
        <v/>
      </c>
      <c r="I27" s="6">
        <f>IFERROR(H27/G27, 0)</f>
        <v/>
      </c>
    </row>
    <row r="28">
      <c r="F28" s="3" t="inlineStr">
        <is>
          <t>Git</t>
        </is>
      </c>
      <c r="G28" s="3">
        <f>COUNTIF('DAILY STUDY PLAN'!F:F, "Git")</f>
        <v/>
      </c>
      <c r="H28" s="3">
        <f>COUNTIFS('DAILY STUDY PLAN'!F:F, "Git", 'DAILY STUDY PLAN'!T:T, "COMPLETED")</f>
        <v/>
      </c>
      <c r="I28" s="6">
        <f>IFERROR(H28/G28, 0)</f>
        <v/>
      </c>
    </row>
    <row r="29">
      <c r="F29" s="3" t="inlineStr">
        <is>
          <t>Docker</t>
        </is>
      </c>
      <c r="G29" s="3">
        <f>COUNTIF('DAILY STUDY PLAN'!F:F, "Docker")</f>
        <v/>
      </c>
      <c r="H29" s="3">
        <f>COUNTIFS('DAILY STUDY PLAN'!F:F, "Docker", 'DAILY STUDY PLAN'!T:T, "COMPLETED")</f>
        <v/>
      </c>
      <c r="I29" s="6">
        <f>IFERROR(H29/G29, 0)</f>
        <v/>
      </c>
    </row>
    <row r="30">
      <c r="F30" s="3" t="inlineStr">
        <is>
          <t>DSA</t>
        </is>
      </c>
      <c r="G30" s="3">
        <f>COUNTIF('DAILY STUDY PLAN'!F:F, "DSA")</f>
        <v/>
      </c>
      <c r="H30" s="3">
        <f>COUNTIFS('DAILY STUDY PLAN'!F:F, "DSA", 'DAILY STUDY PLAN'!T:T, "COMPLETED")</f>
        <v/>
      </c>
      <c r="I30" s="6">
        <f>IFERROR(H30/G30, 0)</f>
        <v/>
      </c>
    </row>
    <row r="31">
      <c r="F31" s="3" t="inlineStr">
        <is>
          <t>Project</t>
        </is>
      </c>
      <c r="G31" s="3">
        <f>COUNTIF('DAILY STUDY PLAN'!F:F, "Project")</f>
        <v/>
      </c>
      <c r="H31" s="3">
        <f>COUNTIFS('DAILY STUDY PLAN'!F:F, "Project", 'DAILY STUDY PLAN'!T:T, "COMPLETED")</f>
        <v/>
      </c>
      <c r="I31" s="6">
        <f>IFERROR(H31/G31, 0)</f>
        <v/>
      </c>
    </row>
  </sheetData>
  <mergeCells count="1">
    <mergeCell ref="B2:H3"/>
  </mergeCells>
  <conditionalFormatting sqref="I7:I31">
    <cfRule type="dataBar" priority="1">
      <dataBar showValue="1">
        <cfvo type="num" val="0"/>
        <cfvo type="num" val="1"/>
        <color rgb="005CB85C"/>
      </dataBar>
    </cfRule>
  </conditionalFormatting>
  <conditionalFormatting sqref="C9">
    <cfRule type="dataBar" priority="1">
      <dataBar showValue="1">
        <cfvo type="num" val="0"/>
        <cfvo type="num" val="1"/>
        <color rgb="005CB85C"/>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s>
  <sheetData>
    <row r="1">
      <c r="A1" s="8" t="inlineStr">
        <is>
          <t>Time</t>
        </is>
      </c>
      <c r="B1" s="8" t="inlineStr">
        <is>
          <t>Activity</t>
        </is>
      </c>
      <c r="C1" s="8" t="inlineStr">
        <is>
          <t>Duration</t>
        </is>
      </c>
      <c r="D1" s="8" t="inlineStr">
        <is>
          <t>Description</t>
        </is>
      </c>
    </row>
    <row r="2">
      <c r="A2" s="9" t="inlineStr">
        <is>
          <t>10:00 AM – 10:30 AM</t>
        </is>
      </c>
      <c r="B2" s="9" t="inlineStr">
        <is>
          <t>English Practice</t>
        </is>
      </c>
      <c r="C2" s="9" t="inlineStr">
        <is>
          <t>30 min</t>
        </is>
      </c>
      <c r="D2" s="9" t="inlineStr">
        <is>
          <t>Reading aloud, Technical speaking, Interview speaking</t>
        </is>
      </c>
    </row>
    <row r="3">
      <c r="A3" s="9" t="inlineStr">
        <is>
          <t>10:30 AM – 12:00 PM</t>
        </is>
      </c>
      <c r="B3" s="9" t="inlineStr">
        <is>
          <t>Main Technical Study</t>
        </is>
      </c>
      <c r="C3" s="9" t="inlineStr">
        <is>
          <t>90 min</t>
        </is>
      </c>
      <c r="D3" s="9" t="inlineStr">
        <is>
          <t>Deep focus on primary daily topics</t>
        </is>
      </c>
    </row>
    <row r="4">
      <c r="A4" s="9" t="inlineStr">
        <is>
          <t>12:00 PM – 12:15 PM</t>
        </is>
      </c>
      <c r="B4" s="9" t="inlineStr">
        <is>
          <t>Short Break</t>
        </is>
      </c>
      <c r="C4" s="9" t="inlineStr">
        <is>
          <t>15 min</t>
        </is>
      </c>
      <c r="D4" s="9" t="inlineStr">
        <is>
          <t>Rest eyes, stretch</t>
        </is>
      </c>
    </row>
    <row r="5">
      <c r="A5" s="9" t="inlineStr">
        <is>
          <t>12:15 PM – 2:00 PM</t>
        </is>
      </c>
      <c r="B5" s="9" t="inlineStr">
        <is>
          <t>Coding / Practice</t>
        </is>
      </c>
      <c r="C5" s="9" t="inlineStr">
        <is>
          <t>105 min</t>
        </is>
      </c>
      <c r="D5" s="9" t="inlineStr">
        <is>
          <t>Hands-on implementation of studied topics</t>
        </is>
      </c>
    </row>
    <row r="6">
      <c r="A6" s="9" t="inlineStr">
        <is>
          <t>2:00 PM – 3:00 PM</t>
        </is>
      </c>
      <c r="B6" s="9" t="inlineStr">
        <is>
          <t>Lunch + Rest</t>
        </is>
      </c>
      <c r="C6" s="9" t="inlineStr">
        <is>
          <t>60 min</t>
        </is>
      </c>
      <c r="D6" s="9" t="inlineStr">
        <is>
          <t>Meal and mental recharge</t>
        </is>
      </c>
    </row>
    <row r="7">
      <c r="A7" s="9" t="inlineStr">
        <is>
          <t>3:00 PM – 5:00 PM</t>
        </is>
      </c>
      <c r="B7" s="9" t="inlineStr">
        <is>
          <t>Project / Hands-On</t>
        </is>
      </c>
      <c r="C7" s="9" t="inlineStr">
        <is>
          <t>120 min</t>
        </is>
      </c>
      <c r="D7" s="9" t="inlineStr">
        <is>
          <t>Applying concepts to main portfolio projects</t>
        </is>
      </c>
    </row>
    <row r="8">
      <c r="A8" s="9" t="inlineStr">
        <is>
          <t>5:00 PM – 5:30 PM</t>
        </is>
      </c>
      <c r="B8" s="9" t="inlineStr">
        <is>
          <t>Break</t>
        </is>
      </c>
      <c r="C8" s="9" t="inlineStr">
        <is>
          <t>30 min</t>
        </is>
      </c>
      <c r="D8" s="9" t="inlineStr">
        <is>
          <t>Evening walk or tea</t>
        </is>
      </c>
    </row>
    <row r="9">
      <c r="A9" s="9" t="inlineStr">
        <is>
          <t>5:30 PM – 6:30 PM</t>
        </is>
      </c>
      <c r="B9" s="9" t="inlineStr">
        <is>
          <t>DSA / SQL / Revision</t>
        </is>
      </c>
      <c r="C9" s="9" t="inlineStr">
        <is>
          <t>60 min</t>
        </is>
      </c>
      <c r="D9" s="9" t="inlineStr">
        <is>
          <t>Algorithm practice, queries, or reviewing previous concepts</t>
        </is>
      </c>
    </row>
    <row r="10">
      <c r="A10" s="9" t="inlineStr">
        <is>
          <t>6:30 PM – 7:30 PM</t>
        </is>
      </c>
      <c r="B10" s="9" t="inlineStr">
        <is>
          <t>Interview Preparation</t>
        </is>
      </c>
      <c r="C10" s="9" t="inlineStr">
        <is>
          <t>60 min</t>
        </is>
      </c>
      <c r="D10" s="9" t="inlineStr">
        <is>
          <t>Mock answers, theory review, behavioral questions</t>
        </is>
      </c>
    </row>
    <row r="11">
      <c r="A11" s="9" t="inlineStr">
        <is>
          <t>7:30 PM – 8:30 PM</t>
        </is>
      </c>
      <c r="B11" s="9" t="inlineStr">
        <is>
          <t>Dinner</t>
        </is>
      </c>
      <c r="C11" s="9" t="inlineStr">
        <is>
          <t>60 min</t>
        </is>
      </c>
      <c r="D11" s="9" t="inlineStr">
        <is>
          <t>Dinner time</t>
        </is>
      </c>
    </row>
    <row r="12">
      <c r="A12" s="9" t="inlineStr">
        <is>
          <t>8:30 PM – 9:30 PM</t>
        </is>
      </c>
      <c r="B12" s="9" t="inlineStr">
        <is>
          <t>Job Applications</t>
        </is>
      </c>
      <c r="C12" s="9" t="inlineStr">
        <is>
          <t>60 min</t>
        </is>
      </c>
      <c r="D12" s="9" t="inlineStr">
        <is>
          <t>Updating resume, tailoring cover letters, applying to targets</t>
        </is>
      </c>
    </row>
    <row r="13">
      <c r="A13" s="9" t="inlineStr">
        <is>
          <t>9:30 PM – 10:00 PM</t>
        </is>
      </c>
      <c r="B13" s="9" t="inlineStr">
        <is>
          <t>Revision &amp; Planning</t>
        </is>
      </c>
      <c r="C13" s="9" t="inlineStr">
        <is>
          <t>30 min</t>
        </is>
      </c>
      <c r="D13" s="9" t="inlineStr">
        <is>
          <t>Quick recap of the day and setting up for tomorrow</t>
        </is>
      </c>
    </row>
  </sheetData>
  <autoFilter ref="A1:D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8" customWidth="1" min="4" max="4"/>
    <col width="10" customWidth="1" min="5" max="5"/>
    <col width="15" customWidth="1" min="6" max="6"/>
    <col width="18" customWidth="1" min="7" max="7"/>
    <col width="22" customWidth="1" min="8" max="8"/>
    <col width="30" customWidth="1" min="9" max="9"/>
    <col width="12" customWidth="1" min="10" max="10"/>
    <col width="12" customWidth="1" min="11" max="11"/>
    <col width="30" customWidth="1" min="12" max="12"/>
    <col width="15" customWidth="1" min="13" max="13"/>
    <col width="40" customWidth="1" min="14" max="14"/>
    <col width="15" customWidth="1" min="15" max="15"/>
    <col width="40" customWidth="1" min="16" max="16"/>
    <col width="20" customWidth="1" min="17" max="17"/>
    <col width="22" customWidth="1" min="18" max="18"/>
    <col width="20" customWidth="1" min="19" max="19"/>
    <col width="15" customWidth="1" min="20" max="20"/>
    <col width="25" customWidth="1" min="21" max="21"/>
  </cols>
  <sheetData>
    <row r="1">
      <c r="A1" s="8" t="inlineStr">
        <is>
          <t>Day</t>
        </is>
      </c>
      <c r="B1" s="8" t="inlineStr">
        <is>
          <t>Date</t>
        </is>
      </c>
      <c r="C1" s="8" t="inlineStr">
        <is>
          <t>Week</t>
        </is>
      </c>
      <c r="D1" s="8" t="inlineStr">
        <is>
          <t>Month</t>
        </is>
      </c>
      <c r="E1" s="8" t="inlineStr">
        <is>
          <t>Phase</t>
        </is>
      </c>
      <c r="F1" s="8" t="inlineStr">
        <is>
          <t>Subject</t>
        </is>
      </c>
      <c r="G1" s="8" t="inlineStr">
        <is>
          <t>Topic</t>
        </is>
      </c>
      <c r="H1" s="8" t="inlineStr">
        <is>
          <t>Subtopic</t>
        </is>
      </c>
      <c r="I1" s="8" t="inlineStr">
        <is>
          <t>What to Learn</t>
        </is>
      </c>
      <c r="J1" s="8" t="inlineStr">
        <is>
          <t>Study Time</t>
        </is>
      </c>
      <c r="K1" s="8" t="inlineStr">
        <is>
          <t>Practice Time</t>
        </is>
      </c>
      <c r="L1" s="8" t="inlineStr">
        <is>
          <t>Practice Task</t>
        </is>
      </c>
      <c r="M1" s="8" t="inlineStr">
        <is>
          <t>Interview Time</t>
        </is>
      </c>
      <c r="N1" s="8" t="inlineStr">
        <is>
          <t>Interview Question</t>
        </is>
      </c>
      <c r="O1" s="8" t="inlineStr">
        <is>
          <t>English Time</t>
        </is>
      </c>
      <c r="P1" s="8" t="inlineStr">
        <is>
          <t>English Practice</t>
        </is>
      </c>
      <c r="Q1" s="8" t="inlineStr">
        <is>
          <t>Project Work</t>
        </is>
      </c>
      <c r="R1" s="8" t="inlineStr">
        <is>
          <t>Job Application Target</t>
        </is>
      </c>
      <c r="S1" s="8" t="inlineStr">
        <is>
          <t>Completion Checkbox</t>
        </is>
      </c>
      <c r="T1" s="8" t="inlineStr">
        <is>
          <t>Status</t>
        </is>
      </c>
      <c r="U1" s="8" t="inlineStr">
        <is>
          <t>Notes</t>
        </is>
      </c>
    </row>
    <row r="2">
      <c r="A2" s="10" t="n">
        <v>1</v>
      </c>
      <c r="B2" s="10" t="inlineStr">
        <is>
          <t>2026-08-31</t>
        </is>
      </c>
      <c r="C2" s="10" t="n">
        <v>1</v>
      </c>
      <c r="D2" s="10" t="n">
        <v>1</v>
      </c>
      <c r="E2" s="9" t="inlineStr">
        <is>
          <t>Month 1</t>
        </is>
      </c>
      <c r="F2" s="9" t="inlineStr">
        <is>
          <t>Python</t>
        </is>
      </c>
      <c r="G2" s="9" t="inlineStr">
        <is>
          <t>Setup</t>
        </is>
      </c>
      <c r="H2" s="9" t="inlineStr">
        <is>
          <t>Python installation</t>
        </is>
      </c>
      <c r="I2" s="9" t="inlineStr">
        <is>
          <t>Master Python installation</t>
        </is>
      </c>
      <c r="J2" s="9" t="inlineStr">
        <is>
          <t>45 min</t>
        </is>
      </c>
      <c r="K2" s="9" t="inlineStr">
        <is>
          <t>45 min</t>
        </is>
      </c>
      <c r="L2" s="9" t="inlineStr">
        <is>
          <t>Code/Implement Python installation</t>
        </is>
      </c>
      <c r="M2" s="9" t="inlineStr">
        <is>
          <t>15 min</t>
        </is>
      </c>
      <c r="N2" s="9" t="inlineStr">
        <is>
          <t>Why is Python installation important in a project?</t>
        </is>
      </c>
      <c r="O2" s="9" t="inlineStr">
        <is>
          <t>15 min</t>
        </is>
      </c>
      <c r="P2" s="9" t="inlineStr">
        <is>
          <t>Explain how you setup Python installation.</t>
        </is>
      </c>
      <c r="Q2" s="9" t="inlineStr">
        <is>
          <t>Build/Refine code</t>
        </is>
      </c>
      <c r="R2" s="9" t="n">
        <v>5</v>
      </c>
      <c r="S2" s="10" t="inlineStr">
        <is>
          <t>☐ Not Started</t>
        </is>
      </c>
      <c r="T2" s="10">
        <f>IF(S2="☑ Completed", "COMPLETED", "NOT STARTED")</f>
        <v/>
      </c>
      <c r="U2" s="9" t="inlineStr">
        <is>
          <t>Review Notes for Day 1</t>
        </is>
      </c>
    </row>
    <row r="3">
      <c r="A3" s="10" t="n">
        <v>1</v>
      </c>
      <c r="B3" s="10" t="inlineStr">
        <is>
          <t>2026-08-31</t>
        </is>
      </c>
      <c r="C3" s="10" t="n">
        <v>1</v>
      </c>
      <c r="D3" s="10" t="n">
        <v>1</v>
      </c>
      <c r="E3" s="9" t="inlineStr">
        <is>
          <t>Month 1</t>
        </is>
      </c>
      <c r="F3" s="9" t="inlineStr">
        <is>
          <t>Python</t>
        </is>
      </c>
      <c r="G3" s="9" t="inlineStr">
        <is>
          <t>Setup</t>
        </is>
      </c>
      <c r="H3" s="9" t="inlineStr">
        <is>
          <t>VS Code setup</t>
        </is>
      </c>
      <c r="I3" s="9" t="inlineStr">
        <is>
          <t>Master VS Code setup</t>
        </is>
      </c>
      <c r="J3" s="9" t="inlineStr">
        <is>
          <t>30 min</t>
        </is>
      </c>
      <c r="K3" s="9" t="inlineStr">
        <is>
          <t>30 min</t>
        </is>
      </c>
      <c r="L3" s="9" t="inlineStr">
        <is>
          <t>Code/Implement VS Code setup</t>
        </is>
      </c>
      <c r="M3" s="9" t="inlineStr">
        <is>
          <t>15 min</t>
        </is>
      </c>
      <c r="N3" s="9" t="inlineStr">
        <is>
          <t>Why is VS Code setup important in a project?</t>
        </is>
      </c>
      <c r="O3" s="9" t="inlineStr">
        <is>
          <t>15 min</t>
        </is>
      </c>
      <c r="P3" s="9" t="inlineStr">
        <is>
          <t>Explain how you setup VS Code setup.</t>
        </is>
      </c>
      <c r="Q3" s="9" t="inlineStr">
        <is>
          <t>Build/Refine code</t>
        </is>
      </c>
      <c r="R3" s="9" t="inlineStr">
        <is>
          <t>-</t>
        </is>
      </c>
      <c r="S3" s="10" t="inlineStr">
        <is>
          <t>☐ Not Started</t>
        </is>
      </c>
      <c r="T3" s="10">
        <f>IF(S3="☑ Completed", "COMPLETED", "NOT STARTED")</f>
        <v/>
      </c>
      <c r="U3" s="9" t="inlineStr">
        <is>
          <t>Review Notes for Day 1</t>
        </is>
      </c>
    </row>
    <row r="4">
      <c r="A4" s="10" t="n">
        <v>1</v>
      </c>
      <c r="B4" s="10" t="inlineStr">
        <is>
          <t>2026-08-31</t>
        </is>
      </c>
      <c r="C4" s="10" t="n">
        <v>1</v>
      </c>
      <c r="D4" s="10" t="n">
        <v>1</v>
      </c>
      <c r="E4" s="9" t="inlineStr">
        <is>
          <t>Month 1</t>
        </is>
      </c>
      <c r="F4" s="9" t="inlineStr">
        <is>
          <t>Python</t>
        </is>
      </c>
      <c r="G4" s="9" t="inlineStr">
        <is>
          <t>Setup</t>
        </is>
      </c>
      <c r="H4" s="9" t="inlineStr">
        <is>
          <t>Virtual environment</t>
        </is>
      </c>
      <c r="I4" s="9" t="inlineStr">
        <is>
          <t>Master Virtual environment</t>
        </is>
      </c>
      <c r="J4" s="9" t="inlineStr">
        <is>
          <t>30 min</t>
        </is>
      </c>
      <c r="K4" s="9" t="inlineStr">
        <is>
          <t>30 min</t>
        </is>
      </c>
      <c r="L4" s="9" t="inlineStr">
        <is>
          <t>Code/Implement Virtual environment</t>
        </is>
      </c>
      <c r="M4" s="9" t="inlineStr">
        <is>
          <t>15 min</t>
        </is>
      </c>
      <c r="N4" s="9" t="inlineStr">
        <is>
          <t>Why is Virtual environment important in a project?</t>
        </is>
      </c>
      <c r="O4" s="9" t="inlineStr">
        <is>
          <t>15 min</t>
        </is>
      </c>
      <c r="P4" s="9" t="inlineStr">
        <is>
          <t>Explain how you setup Virtual environment.</t>
        </is>
      </c>
      <c r="Q4" s="9" t="inlineStr">
        <is>
          <t>Build/Refine code</t>
        </is>
      </c>
      <c r="R4" s="9" t="inlineStr">
        <is>
          <t>-</t>
        </is>
      </c>
      <c r="S4" s="10" t="inlineStr">
        <is>
          <t>☐ Not Started</t>
        </is>
      </c>
      <c r="T4" s="10">
        <f>IF(S4="☑ Completed", "COMPLETED", "NOT STARTED")</f>
        <v/>
      </c>
      <c r="U4" s="9" t="inlineStr">
        <is>
          <t>Review Notes for Day 1</t>
        </is>
      </c>
    </row>
    <row r="5">
      <c r="A5" s="10" t="n">
        <v>1</v>
      </c>
      <c r="B5" s="10" t="inlineStr">
        <is>
          <t>2026-08-31</t>
        </is>
      </c>
      <c r="C5" s="10" t="n">
        <v>1</v>
      </c>
      <c r="D5" s="10" t="n">
        <v>1</v>
      </c>
      <c r="E5" s="9" t="inlineStr">
        <is>
          <t>Month 1</t>
        </is>
      </c>
      <c r="F5" s="9" t="inlineStr">
        <is>
          <t>Python</t>
        </is>
      </c>
      <c r="G5" s="9" t="inlineStr">
        <is>
          <t>Setup</t>
        </is>
      </c>
      <c r="H5" s="9" t="inlineStr">
        <is>
          <t>pip</t>
        </is>
      </c>
      <c r="I5" s="9" t="inlineStr">
        <is>
          <t>Master pip</t>
        </is>
      </c>
      <c r="J5" s="9" t="inlineStr">
        <is>
          <t>30 min</t>
        </is>
      </c>
      <c r="K5" s="9" t="inlineStr">
        <is>
          <t>30 min</t>
        </is>
      </c>
      <c r="L5" s="9" t="inlineStr">
        <is>
          <t>Code/Implement pip</t>
        </is>
      </c>
      <c r="M5" s="9" t="inlineStr">
        <is>
          <t>15 min</t>
        </is>
      </c>
      <c r="N5" s="9" t="inlineStr">
        <is>
          <t>Why is pip important in a project?</t>
        </is>
      </c>
      <c r="O5" s="9" t="inlineStr">
        <is>
          <t>15 min</t>
        </is>
      </c>
      <c r="P5" s="9" t="inlineStr">
        <is>
          <t>Explain how you setup pip.</t>
        </is>
      </c>
      <c r="Q5" s="9" t="inlineStr">
        <is>
          <t>Build/Refine code</t>
        </is>
      </c>
      <c r="R5" s="9" t="inlineStr">
        <is>
          <t>-</t>
        </is>
      </c>
      <c r="S5" s="10" t="inlineStr">
        <is>
          <t>☐ Not Started</t>
        </is>
      </c>
      <c r="T5" s="10">
        <f>IF(S5="☑ Completed", "COMPLETED", "NOT STARTED")</f>
        <v/>
      </c>
      <c r="U5" s="9" t="inlineStr">
        <is>
          <t>Review Notes for Day 1</t>
        </is>
      </c>
    </row>
    <row r="6">
      <c r="A6" s="10" t="n">
        <v>1</v>
      </c>
      <c r="B6" s="10" t="inlineStr">
        <is>
          <t>2026-08-31</t>
        </is>
      </c>
      <c r="C6" s="10" t="n">
        <v>1</v>
      </c>
      <c r="D6" s="10" t="n">
        <v>1</v>
      </c>
      <c r="E6" s="9" t="inlineStr">
        <is>
          <t>Month 1</t>
        </is>
      </c>
      <c r="F6" s="9" t="inlineStr">
        <is>
          <t>Python</t>
        </is>
      </c>
      <c r="G6" s="9" t="inlineStr">
        <is>
          <t>Setup</t>
        </is>
      </c>
      <c r="H6" s="9" t="inlineStr">
        <is>
          <t>requirements.txt</t>
        </is>
      </c>
      <c r="I6" s="9" t="inlineStr">
        <is>
          <t>Master requirements.txt</t>
        </is>
      </c>
      <c r="J6" s="9" t="inlineStr">
        <is>
          <t>30 min</t>
        </is>
      </c>
      <c r="K6" s="9" t="inlineStr">
        <is>
          <t>30 min</t>
        </is>
      </c>
      <c r="L6" s="9" t="inlineStr">
        <is>
          <t>Code/Implement requirements.txt</t>
        </is>
      </c>
      <c r="M6" s="9" t="inlineStr">
        <is>
          <t>15 min</t>
        </is>
      </c>
      <c r="N6" s="9" t="inlineStr">
        <is>
          <t>Why is requirements.txt important in a project?</t>
        </is>
      </c>
      <c r="O6" s="9" t="inlineStr">
        <is>
          <t>15 min</t>
        </is>
      </c>
      <c r="P6" s="9" t="inlineStr">
        <is>
          <t>Explain how you setup requirements.txt.</t>
        </is>
      </c>
      <c r="Q6" s="9" t="inlineStr">
        <is>
          <t>Build/Refine code</t>
        </is>
      </c>
      <c r="R6" s="9" t="inlineStr">
        <is>
          <t>-</t>
        </is>
      </c>
      <c r="S6" s="10" t="inlineStr">
        <is>
          <t>☐ Not Started</t>
        </is>
      </c>
      <c r="T6" s="10">
        <f>IF(S6="☑ Completed", "COMPLETED", "NOT STARTED")</f>
        <v/>
      </c>
      <c r="U6" s="9" t="inlineStr">
        <is>
          <t>Review Notes for Day 1</t>
        </is>
      </c>
    </row>
    <row r="7">
      <c r="A7" s="10" t="n">
        <v>2</v>
      </c>
      <c r="B7" s="10" t="inlineStr">
        <is>
          <t>2026-09-01</t>
        </is>
      </c>
      <c r="C7" s="10" t="n">
        <v>1</v>
      </c>
      <c r="D7" s="10" t="n">
        <v>1</v>
      </c>
      <c r="E7" s="9" t="inlineStr">
        <is>
          <t>Month 1</t>
        </is>
      </c>
      <c r="F7" s="9" t="inlineStr">
        <is>
          <t>Python</t>
        </is>
      </c>
      <c r="G7" s="9" t="inlineStr">
        <is>
          <t>Basics</t>
        </is>
      </c>
      <c r="H7" s="9" t="inlineStr">
        <is>
          <t>Python syntax</t>
        </is>
      </c>
      <c r="I7" s="9" t="inlineStr">
        <is>
          <t>Master Python syntax</t>
        </is>
      </c>
      <c r="J7" s="9" t="inlineStr">
        <is>
          <t>45 min</t>
        </is>
      </c>
      <c r="K7" s="9" t="inlineStr">
        <is>
          <t>45 min</t>
        </is>
      </c>
      <c r="L7" s="9" t="inlineStr">
        <is>
          <t>Code/Implement Python syntax</t>
        </is>
      </c>
      <c r="M7" s="9" t="inlineStr">
        <is>
          <t>15 min</t>
        </is>
      </c>
      <c r="N7" s="9" t="inlineStr">
        <is>
          <t>What is the difference between various types in Python? (focus on Python syntax)</t>
        </is>
      </c>
      <c r="O7" s="9" t="inlineStr">
        <is>
          <t>15 min</t>
        </is>
      </c>
      <c r="P7" s="9" t="inlineStr">
        <is>
          <t>Explain what Python syntax means to a non-technical person.</t>
        </is>
      </c>
      <c r="Q7" s="9" t="inlineStr">
        <is>
          <t>Build/Refine code</t>
        </is>
      </c>
      <c r="R7" s="9" t="n">
        <v>5</v>
      </c>
      <c r="S7" s="10" t="inlineStr">
        <is>
          <t>☐ Not Started</t>
        </is>
      </c>
      <c r="T7" s="10">
        <f>IF(S7="☑ Completed", "COMPLETED", "NOT STARTED")</f>
        <v/>
      </c>
      <c r="U7" s="9" t="inlineStr">
        <is>
          <t>Review Notes for Day 2</t>
        </is>
      </c>
    </row>
    <row r="8">
      <c r="A8" s="10" t="n">
        <v>2</v>
      </c>
      <c r="B8" s="10" t="inlineStr">
        <is>
          <t>2026-09-01</t>
        </is>
      </c>
      <c r="C8" s="10" t="n">
        <v>1</v>
      </c>
      <c r="D8" s="10" t="n">
        <v>1</v>
      </c>
      <c r="E8" s="9" t="inlineStr">
        <is>
          <t>Month 1</t>
        </is>
      </c>
      <c r="F8" s="9" t="inlineStr">
        <is>
          <t>Python</t>
        </is>
      </c>
      <c r="G8" s="9" t="inlineStr">
        <is>
          <t>Basics</t>
        </is>
      </c>
      <c r="H8" s="9" t="inlineStr">
        <is>
          <t>Variables</t>
        </is>
      </c>
      <c r="I8" s="9" t="inlineStr">
        <is>
          <t>Master Variables</t>
        </is>
      </c>
      <c r="J8" s="9" t="inlineStr">
        <is>
          <t>30 min</t>
        </is>
      </c>
      <c r="K8" s="9" t="inlineStr">
        <is>
          <t>30 min</t>
        </is>
      </c>
      <c r="L8" s="9" t="inlineStr">
        <is>
          <t>Code/Implement Variables</t>
        </is>
      </c>
      <c r="M8" s="9" t="inlineStr">
        <is>
          <t>15 min</t>
        </is>
      </c>
      <c r="N8" s="9" t="inlineStr">
        <is>
          <t>What is the difference between various types in Python? (focus on Variables)</t>
        </is>
      </c>
      <c r="O8" s="9" t="inlineStr">
        <is>
          <t>15 min</t>
        </is>
      </c>
      <c r="P8" s="9" t="inlineStr">
        <is>
          <t>Explain what Variables means to a non-technical person.</t>
        </is>
      </c>
      <c r="Q8" s="9" t="inlineStr">
        <is>
          <t>Build/Refine code</t>
        </is>
      </c>
      <c r="R8" s="9" t="inlineStr">
        <is>
          <t>-</t>
        </is>
      </c>
      <c r="S8" s="10" t="inlineStr">
        <is>
          <t>☐ Not Started</t>
        </is>
      </c>
      <c r="T8" s="10">
        <f>IF(S8="☑ Completed", "COMPLETED", "NOT STARTED")</f>
        <v/>
      </c>
      <c r="U8" s="9" t="inlineStr">
        <is>
          <t>Review Notes for Day 2</t>
        </is>
      </c>
    </row>
    <row r="9">
      <c r="A9" s="10" t="n">
        <v>2</v>
      </c>
      <c r="B9" s="10" t="inlineStr">
        <is>
          <t>2026-09-01</t>
        </is>
      </c>
      <c r="C9" s="10" t="n">
        <v>1</v>
      </c>
      <c r="D9" s="10" t="n">
        <v>1</v>
      </c>
      <c r="E9" s="9" t="inlineStr">
        <is>
          <t>Month 1</t>
        </is>
      </c>
      <c r="F9" s="9" t="inlineStr">
        <is>
          <t>Python</t>
        </is>
      </c>
      <c r="G9" s="9" t="inlineStr">
        <is>
          <t>Basics</t>
        </is>
      </c>
      <c r="H9" s="9" t="inlineStr">
        <is>
          <t>int</t>
        </is>
      </c>
      <c r="I9" s="9" t="inlineStr">
        <is>
          <t>Master int</t>
        </is>
      </c>
      <c r="J9" s="9" t="inlineStr">
        <is>
          <t>30 min</t>
        </is>
      </c>
      <c r="K9" s="9" t="inlineStr">
        <is>
          <t>30 min</t>
        </is>
      </c>
      <c r="L9" s="9" t="inlineStr">
        <is>
          <t>Code/Implement int</t>
        </is>
      </c>
      <c r="M9" s="9" t="inlineStr">
        <is>
          <t>15 min</t>
        </is>
      </c>
      <c r="N9" s="9" t="inlineStr">
        <is>
          <t>What is the difference between various types in Python? (focus on int)</t>
        </is>
      </c>
      <c r="O9" s="9" t="inlineStr">
        <is>
          <t>15 min</t>
        </is>
      </c>
      <c r="P9" s="9" t="inlineStr">
        <is>
          <t>Explain what int means to a non-technical person.</t>
        </is>
      </c>
      <c r="Q9" s="9" t="inlineStr">
        <is>
          <t>Build/Refine code</t>
        </is>
      </c>
      <c r="R9" s="9" t="inlineStr">
        <is>
          <t>-</t>
        </is>
      </c>
      <c r="S9" s="10" t="inlineStr">
        <is>
          <t>☐ Not Started</t>
        </is>
      </c>
      <c r="T9" s="10">
        <f>IF(S9="☑ Completed", "COMPLETED", "NOT STARTED")</f>
        <v/>
      </c>
      <c r="U9" s="9" t="inlineStr">
        <is>
          <t>Review Notes for Day 2</t>
        </is>
      </c>
    </row>
    <row r="10">
      <c r="A10" s="10" t="n">
        <v>2</v>
      </c>
      <c r="B10" s="10" t="inlineStr">
        <is>
          <t>2026-09-01</t>
        </is>
      </c>
      <c r="C10" s="10" t="n">
        <v>1</v>
      </c>
      <c r="D10" s="10" t="n">
        <v>1</v>
      </c>
      <c r="E10" s="9" t="inlineStr">
        <is>
          <t>Month 1</t>
        </is>
      </c>
      <c r="F10" s="9" t="inlineStr">
        <is>
          <t>Python</t>
        </is>
      </c>
      <c r="G10" s="9" t="inlineStr">
        <is>
          <t>Basics</t>
        </is>
      </c>
      <c r="H10" s="9" t="inlineStr">
        <is>
          <t>float</t>
        </is>
      </c>
      <c r="I10" s="9" t="inlineStr">
        <is>
          <t>Master float</t>
        </is>
      </c>
      <c r="J10" s="9" t="inlineStr">
        <is>
          <t>30 min</t>
        </is>
      </c>
      <c r="K10" s="9" t="inlineStr">
        <is>
          <t>30 min</t>
        </is>
      </c>
      <c r="L10" s="9" t="inlineStr">
        <is>
          <t>Code/Implement float</t>
        </is>
      </c>
      <c r="M10" s="9" t="inlineStr">
        <is>
          <t>15 min</t>
        </is>
      </c>
      <c r="N10" s="9" t="inlineStr">
        <is>
          <t>What is the difference between various types in Python? (focus on float)</t>
        </is>
      </c>
      <c r="O10" s="9" t="inlineStr">
        <is>
          <t>15 min</t>
        </is>
      </c>
      <c r="P10" s="9" t="inlineStr">
        <is>
          <t>Explain what float means to a non-technical person.</t>
        </is>
      </c>
      <c r="Q10" s="9" t="inlineStr">
        <is>
          <t>Build/Refine code</t>
        </is>
      </c>
      <c r="R10" s="9" t="inlineStr">
        <is>
          <t>-</t>
        </is>
      </c>
      <c r="S10" s="10" t="inlineStr">
        <is>
          <t>☐ Not Started</t>
        </is>
      </c>
      <c r="T10" s="10">
        <f>IF(S10="☑ Completed", "COMPLETED", "NOT STARTED")</f>
        <v/>
      </c>
      <c r="U10" s="9" t="inlineStr">
        <is>
          <t>Review Notes for Day 2</t>
        </is>
      </c>
    </row>
    <row r="11">
      <c r="A11" s="10" t="n">
        <v>2</v>
      </c>
      <c r="B11" s="10" t="inlineStr">
        <is>
          <t>2026-09-01</t>
        </is>
      </c>
      <c r="C11" s="10" t="n">
        <v>1</v>
      </c>
      <c r="D11" s="10" t="n">
        <v>1</v>
      </c>
      <c r="E11" s="9" t="inlineStr">
        <is>
          <t>Month 1</t>
        </is>
      </c>
      <c r="F11" s="9" t="inlineStr">
        <is>
          <t>Python</t>
        </is>
      </c>
      <c r="G11" s="9" t="inlineStr">
        <is>
          <t>Basics</t>
        </is>
      </c>
      <c r="H11" s="9" t="inlineStr">
        <is>
          <t>string</t>
        </is>
      </c>
      <c r="I11" s="9" t="inlineStr">
        <is>
          <t>Master string</t>
        </is>
      </c>
      <c r="J11" s="9" t="inlineStr">
        <is>
          <t>30 min</t>
        </is>
      </c>
      <c r="K11" s="9" t="inlineStr">
        <is>
          <t>30 min</t>
        </is>
      </c>
      <c r="L11" s="9" t="inlineStr">
        <is>
          <t>Code/Implement string</t>
        </is>
      </c>
      <c r="M11" s="9" t="inlineStr">
        <is>
          <t>15 min</t>
        </is>
      </c>
      <c r="N11" s="9" t="inlineStr">
        <is>
          <t>What is the difference between various types in Python? (focus on string)</t>
        </is>
      </c>
      <c r="O11" s="9" t="inlineStr">
        <is>
          <t>15 min</t>
        </is>
      </c>
      <c r="P11" s="9" t="inlineStr">
        <is>
          <t>Explain what string means to a non-technical person.</t>
        </is>
      </c>
      <c r="Q11" s="9" t="inlineStr">
        <is>
          <t>Build/Refine code</t>
        </is>
      </c>
      <c r="R11" s="9" t="inlineStr">
        <is>
          <t>-</t>
        </is>
      </c>
      <c r="S11" s="10" t="inlineStr">
        <is>
          <t>☐ Not Started</t>
        </is>
      </c>
      <c r="T11" s="10">
        <f>IF(S11="☑ Completed", "COMPLETED", "NOT STARTED")</f>
        <v/>
      </c>
      <c r="U11" s="9" t="inlineStr">
        <is>
          <t>Review Notes for Day 2</t>
        </is>
      </c>
    </row>
    <row r="12">
      <c r="A12" s="10" t="n">
        <v>3</v>
      </c>
      <c r="B12" s="10" t="inlineStr">
        <is>
          <t>2026-09-02</t>
        </is>
      </c>
      <c r="C12" s="10" t="n">
        <v>1</v>
      </c>
      <c r="D12" s="10" t="n">
        <v>1</v>
      </c>
      <c r="E12" s="9" t="inlineStr">
        <is>
          <t>Month 1</t>
        </is>
      </c>
      <c r="F12" s="9" t="inlineStr">
        <is>
          <t>Python</t>
        </is>
      </c>
      <c r="G12" s="9" t="inlineStr">
        <is>
          <t>Basics</t>
        </is>
      </c>
      <c r="H12" s="9" t="inlineStr">
        <is>
          <t>boolean</t>
        </is>
      </c>
      <c r="I12" s="9" t="inlineStr">
        <is>
          <t>Master boolean</t>
        </is>
      </c>
      <c r="J12" s="9" t="inlineStr">
        <is>
          <t>45 min</t>
        </is>
      </c>
      <c r="K12" s="9" t="inlineStr">
        <is>
          <t>45 min</t>
        </is>
      </c>
      <c r="L12" s="9" t="inlineStr">
        <is>
          <t>Code/Implement boolean</t>
        </is>
      </c>
      <c r="M12" s="9" t="inlineStr">
        <is>
          <t>15 min</t>
        </is>
      </c>
      <c r="N12" s="9" t="inlineStr">
        <is>
          <t>What is the difference between various types in Python? (focus on boolean)</t>
        </is>
      </c>
      <c r="O12" s="9" t="inlineStr">
        <is>
          <t>15 min</t>
        </is>
      </c>
      <c r="P12" s="9" t="inlineStr">
        <is>
          <t>Explain what boolean means to a non-technical person.</t>
        </is>
      </c>
      <c r="Q12" s="9" t="inlineStr">
        <is>
          <t>Build/Refine code</t>
        </is>
      </c>
      <c r="R12" s="9" t="n">
        <v>5</v>
      </c>
      <c r="S12" s="10" t="inlineStr">
        <is>
          <t>☐ Not Started</t>
        </is>
      </c>
      <c r="T12" s="10">
        <f>IF(S12="☑ Completed", "COMPLETED", "NOT STARTED")</f>
        <v/>
      </c>
      <c r="U12" s="9" t="inlineStr">
        <is>
          <t>Review Notes for Day 3</t>
        </is>
      </c>
    </row>
    <row r="13">
      <c r="A13" s="10" t="n">
        <v>3</v>
      </c>
      <c r="B13" s="10" t="inlineStr">
        <is>
          <t>2026-09-02</t>
        </is>
      </c>
      <c r="C13" s="10" t="n">
        <v>1</v>
      </c>
      <c r="D13" s="10" t="n">
        <v>1</v>
      </c>
      <c r="E13" s="9" t="inlineStr">
        <is>
          <t>Month 1</t>
        </is>
      </c>
      <c r="F13" s="9" t="inlineStr">
        <is>
          <t>Python</t>
        </is>
      </c>
      <c r="G13" s="9" t="inlineStr">
        <is>
          <t>Basics</t>
        </is>
      </c>
      <c r="H13" s="9" t="inlineStr">
        <is>
          <t>None</t>
        </is>
      </c>
      <c r="I13" s="9" t="inlineStr">
        <is>
          <t>Master None</t>
        </is>
      </c>
      <c r="J13" s="9" t="inlineStr">
        <is>
          <t>30 min</t>
        </is>
      </c>
      <c r="K13" s="9" t="inlineStr">
        <is>
          <t>30 min</t>
        </is>
      </c>
      <c r="L13" s="9" t="inlineStr">
        <is>
          <t>Code/Implement None</t>
        </is>
      </c>
      <c r="M13" s="9" t="inlineStr">
        <is>
          <t>15 min</t>
        </is>
      </c>
      <c r="N13" s="9" t="inlineStr">
        <is>
          <t>What is the difference between various types in Python? (focus on None)</t>
        </is>
      </c>
      <c r="O13" s="9" t="inlineStr">
        <is>
          <t>15 min</t>
        </is>
      </c>
      <c r="P13" s="9" t="inlineStr">
        <is>
          <t>Explain what None means to a non-technical person.</t>
        </is>
      </c>
      <c r="Q13" s="9" t="inlineStr">
        <is>
          <t>Build/Refine code</t>
        </is>
      </c>
      <c r="R13" s="9" t="inlineStr">
        <is>
          <t>-</t>
        </is>
      </c>
      <c r="S13" s="10" t="inlineStr">
        <is>
          <t>☐ Not Started</t>
        </is>
      </c>
      <c r="T13" s="10">
        <f>IF(S13="☑ Completed", "COMPLETED", "NOT STARTED")</f>
        <v/>
      </c>
      <c r="U13" s="9" t="inlineStr">
        <is>
          <t>Review Notes for Day 3</t>
        </is>
      </c>
    </row>
    <row r="14">
      <c r="A14" s="10" t="n">
        <v>3</v>
      </c>
      <c r="B14" s="10" t="inlineStr">
        <is>
          <t>2026-09-02</t>
        </is>
      </c>
      <c r="C14" s="10" t="n">
        <v>1</v>
      </c>
      <c r="D14" s="10" t="n">
        <v>1</v>
      </c>
      <c r="E14" s="9" t="inlineStr">
        <is>
          <t>Month 1</t>
        </is>
      </c>
      <c r="F14" s="9" t="inlineStr">
        <is>
          <t>Python</t>
        </is>
      </c>
      <c r="G14" s="9" t="inlineStr">
        <is>
          <t>Basics</t>
        </is>
      </c>
      <c r="H14" s="9" t="inlineStr">
        <is>
          <t>Type conversion</t>
        </is>
      </c>
      <c r="I14" s="9" t="inlineStr">
        <is>
          <t>Master Type conversion</t>
        </is>
      </c>
      <c r="J14" s="9" t="inlineStr">
        <is>
          <t>30 min</t>
        </is>
      </c>
      <c r="K14" s="9" t="inlineStr">
        <is>
          <t>30 min</t>
        </is>
      </c>
      <c r="L14" s="9" t="inlineStr">
        <is>
          <t>Code/Implement Type conversion</t>
        </is>
      </c>
      <c r="M14" s="9" t="inlineStr">
        <is>
          <t>15 min</t>
        </is>
      </c>
      <c r="N14" s="9" t="inlineStr">
        <is>
          <t>What is the difference between various types in Python? (focus on Type conversion)</t>
        </is>
      </c>
      <c r="O14" s="9" t="inlineStr">
        <is>
          <t>15 min</t>
        </is>
      </c>
      <c r="P14" s="9" t="inlineStr">
        <is>
          <t>Explain what Type conversion means to a non-technical person.</t>
        </is>
      </c>
      <c r="Q14" s="9" t="inlineStr">
        <is>
          <t>Build/Refine code</t>
        </is>
      </c>
      <c r="R14" s="9" t="inlineStr">
        <is>
          <t>-</t>
        </is>
      </c>
      <c r="S14" s="10" t="inlineStr">
        <is>
          <t>☐ Not Started</t>
        </is>
      </c>
      <c r="T14" s="10">
        <f>IF(S14="☑ Completed", "COMPLETED", "NOT STARTED")</f>
        <v/>
      </c>
      <c r="U14" s="9" t="inlineStr">
        <is>
          <t>Review Notes for Day 3</t>
        </is>
      </c>
    </row>
    <row r="15">
      <c r="A15" s="10" t="n">
        <v>3</v>
      </c>
      <c r="B15" s="10" t="inlineStr">
        <is>
          <t>2026-09-02</t>
        </is>
      </c>
      <c r="C15" s="10" t="n">
        <v>1</v>
      </c>
      <c r="D15" s="10" t="n">
        <v>1</v>
      </c>
      <c r="E15" s="9" t="inlineStr">
        <is>
          <t>Month 1</t>
        </is>
      </c>
      <c r="F15" s="9" t="inlineStr">
        <is>
          <t>Python</t>
        </is>
      </c>
      <c r="G15" s="9" t="inlineStr">
        <is>
          <t>Operators</t>
        </is>
      </c>
      <c r="H15" s="9" t="inlineStr">
        <is>
          <t>Arithmetic</t>
        </is>
      </c>
      <c r="I15" s="9" t="inlineStr">
        <is>
          <t>Master Arithmetic</t>
        </is>
      </c>
      <c r="J15" s="9" t="inlineStr">
        <is>
          <t>30 min</t>
        </is>
      </c>
      <c r="K15" s="9" t="inlineStr">
        <is>
          <t>30 min</t>
        </is>
      </c>
      <c r="L15" s="9" t="inlineStr">
        <is>
          <t>Code/Implement Arithmetic</t>
        </is>
      </c>
      <c r="M15" s="9" t="inlineStr">
        <is>
          <t>15 min</t>
        </is>
      </c>
      <c r="N15" s="9" t="inlineStr">
        <is>
          <t>How do Arithmetic operators work in Python?</t>
        </is>
      </c>
      <c r="O15" s="9" t="inlineStr">
        <is>
          <t>15 min</t>
        </is>
      </c>
      <c r="P15" s="9" t="inlineStr">
        <is>
          <t>Give a real life example of using Arithmetic.</t>
        </is>
      </c>
      <c r="Q15" s="9" t="inlineStr">
        <is>
          <t>Build/Refine code</t>
        </is>
      </c>
      <c r="R15" s="9" t="inlineStr">
        <is>
          <t>-</t>
        </is>
      </c>
      <c r="S15" s="10" t="inlineStr">
        <is>
          <t>☐ Not Started</t>
        </is>
      </c>
      <c r="T15" s="10">
        <f>IF(S15="☑ Completed", "COMPLETED", "NOT STARTED")</f>
        <v/>
      </c>
      <c r="U15" s="9" t="inlineStr">
        <is>
          <t>Review Notes for Day 3</t>
        </is>
      </c>
    </row>
    <row r="16">
      <c r="A16" s="10" t="n">
        <v>3</v>
      </c>
      <c r="B16" s="10" t="inlineStr">
        <is>
          <t>2026-09-02</t>
        </is>
      </c>
      <c r="C16" s="10" t="n">
        <v>1</v>
      </c>
      <c r="D16" s="10" t="n">
        <v>1</v>
      </c>
      <c r="E16" s="9" t="inlineStr">
        <is>
          <t>Month 1</t>
        </is>
      </c>
      <c r="F16" s="9" t="inlineStr">
        <is>
          <t>Python</t>
        </is>
      </c>
      <c r="G16" s="9" t="inlineStr">
        <is>
          <t>Operators</t>
        </is>
      </c>
      <c r="H16" s="9" t="inlineStr">
        <is>
          <t>Comparison</t>
        </is>
      </c>
      <c r="I16" s="9" t="inlineStr">
        <is>
          <t>Master Comparison</t>
        </is>
      </c>
      <c r="J16" s="9" t="inlineStr">
        <is>
          <t>30 min</t>
        </is>
      </c>
      <c r="K16" s="9" t="inlineStr">
        <is>
          <t>30 min</t>
        </is>
      </c>
      <c r="L16" s="9" t="inlineStr">
        <is>
          <t>Code/Implement Comparison</t>
        </is>
      </c>
      <c r="M16" s="9" t="inlineStr">
        <is>
          <t>15 min</t>
        </is>
      </c>
      <c r="N16" s="9" t="inlineStr">
        <is>
          <t>How do Comparison operators work in Python?</t>
        </is>
      </c>
      <c r="O16" s="9" t="inlineStr">
        <is>
          <t>15 min</t>
        </is>
      </c>
      <c r="P16" s="9" t="inlineStr">
        <is>
          <t>Give a real life example of using Comparison.</t>
        </is>
      </c>
      <c r="Q16" s="9" t="inlineStr">
        <is>
          <t>Build/Refine code</t>
        </is>
      </c>
      <c r="R16" s="9" t="inlineStr">
        <is>
          <t>-</t>
        </is>
      </c>
      <c r="S16" s="10" t="inlineStr">
        <is>
          <t>☐ Not Started</t>
        </is>
      </c>
      <c r="T16" s="10">
        <f>IF(S16="☑ Completed", "COMPLETED", "NOT STARTED")</f>
        <v/>
      </c>
      <c r="U16" s="9" t="inlineStr">
        <is>
          <t>Review Notes for Day 3</t>
        </is>
      </c>
    </row>
    <row r="17">
      <c r="A17" s="10" t="n">
        <v>4</v>
      </c>
      <c r="B17" s="10" t="inlineStr">
        <is>
          <t>2026-09-03</t>
        </is>
      </c>
      <c r="C17" s="10" t="n">
        <v>1</v>
      </c>
      <c r="D17" s="10" t="n">
        <v>1</v>
      </c>
      <c r="E17" s="9" t="inlineStr">
        <is>
          <t>Month 1</t>
        </is>
      </c>
      <c r="F17" s="9" t="inlineStr">
        <is>
          <t>Python</t>
        </is>
      </c>
      <c r="G17" s="9" t="inlineStr">
        <is>
          <t>Operators</t>
        </is>
      </c>
      <c r="H17" s="9" t="inlineStr">
        <is>
          <t>Logical</t>
        </is>
      </c>
      <c r="I17" s="9" t="inlineStr">
        <is>
          <t>Master Logical</t>
        </is>
      </c>
      <c r="J17" s="9" t="inlineStr">
        <is>
          <t>45 min</t>
        </is>
      </c>
      <c r="K17" s="9" t="inlineStr">
        <is>
          <t>45 min</t>
        </is>
      </c>
      <c r="L17" s="9" t="inlineStr">
        <is>
          <t>Code/Implement Logical</t>
        </is>
      </c>
      <c r="M17" s="9" t="inlineStr">
        <is>
          <t>15 min</t>
        </is>
      </c>
      <c r="N17" s="9" t="inlineStr">
        <is>
          <t>How do Logical operators work in Python?</t>
        </is>
      </c>
      <c r="O17" s="9" t="inlineStr">
        <is>
          <t>15 min</t>
        </is>
      </c>
      <c r="P17" s="9" t="inlineStr">
        <is>
          <t>Give a real life example of using Logical.</t>
        </is>
      </c>
      <c r="Q17" s="9" t="inlineStr">
        <is>
          <t>Build/Refine code</t>
        </is>
      </c>
      <c r="R17" s="9" t="n">
        <v>5</v>
      </c>
      <c r="S17" s="10" t="inlineStr">
        <is>
          <t>☐ Not Started</t>
        </is>
      </c>
      <c r="T17" s="10">
        <f>IF(S17="☑ Completed", "COMPLETED", "NOT STARTED")</f>
        <v/>
      </c>
      <c r="U17" s="9" t="inlineStr">
        <is>
          <t>Review Notes for Day 4</t>
        </is>
      </c>
    </row>
    <row r="18">
      <c r="A18" s="10" t="n">
        <v>4</v>
      </c>
      <c r="B18" s="10" t="inlineStr">
        <is>
          <t>2026-09-03</t>
        </is>
      </c>
      <c r="C18" s="10" t="n">
        <v>1</v>
      </c>
      <c r="D18" s="10" t="n">
        <v>1</v>
      </c>
      <c r="E18" s="9" t="inlineStr">
        <is>
          <t>Month 1</t>
        </is>
      </c>
      <c r="F18" s="9" t="inlineStr">
        <is>
          <t>Python</t>
        </is>
      </c>
      <c r="G18" s="9" t="inlineStr">
        <is>
          <t>Operators</t>
        </is>
      </c>
      <c r="H18" s="9" t="inlineStr">
        <is>
          <t>Assignment</t>
        </is>
      </c>
      <c r="I18" s="9" t="inlineStr">
        <is>
          <t>Master Assignment</t>
        </is>
      </c>
      <c r="J18" s="9" t="inlineStr">
        <is>
          <t>30 min</t>
        </is>
      </c>
      <c r="K18" s="9" t="inlineStr">
        <is>
          <t>30 min</t>
        </is>
      </c>
      <c r="L18" s="9" t="inlineStr">
        <is>
          <t>Code/Implement Assignment</t>
        </is>
      </c>
      <c r="M18" s="9" t="inlineStr">
        <is>
          <t>15 min</t>
        </is>
      </c>
      <c r="N18" s="9" t="inlineStr">
        <is>
          <t>How do Assignment operators work in Python?</t>
        </is>
      </c>
      <c r="O18" s="9" t="inlineStr">
        <is>
          <t>15 min</t>
        </is>
      </c>
      <c r="P18" s="9" t="inlineStr">
        <is>
          <t>Give a real life example of using Assignment.</t>
        </is>
      </c>
      <c r="Q18" s="9" t="inlineStr">
        <is>
          <t>Build/Refine code</t>
        </is>
      </c>
      <c r="R18" s="9" t="inlineStr">
        <is>
          <t>-</t>
        </is>
      </c>
      <c r="S18" s="10" t="inlineStr">
        <is>
          <t>☐ Not Started</t>
        </is>
      </c>
      <c r="T18" s="10">
        <f>IF(S18="☑ Completed", "COMPLETED", "NOT STARTED")</f>
        <v/>
      </c>
      <c r="U18" s="9" t="inlineStr">
        <is>
          <t>Review Notes for Day 4</t>
        </is>
      </c>
    </row>
    <row r="19">
      <c r="A19" s="10" t="n">
        <v>4</v>
      </c>
      <c r="B19" s="10" t="inlineStr">
        <is>
          <t>2026-09-03</t>
        </is>
      </c>
      <c r="C19" s="10" t="n">
        <v>1</v>
      </c>
      <c r="D19" s="10" t="n">
        <v>1</v>
      </c>
      <c r="E19" s="9" t="inlineStr">
        <is>
          <t>Month 1</t>
        </is>
      </c>
      <c r="F19" s="9" t="inlineStr">
        <is>
          <t>Python</t>
        </is>
      </c>
      <c r="G19" s="9" t="inlineStr">
        <is>
          <t>Operators</t>
        </is>
      </c>
      <c r="H19" s="9" t="inlineStr">
        <is>
          <t>Membership</t>
        </is>
      </c>
      <c r="I19" s="9" t="inlineStr">
        <is>
          <t>Master Membership</t>
        </is>
      </c>
      <c r="J19" s="9" t="inlineStr">
        <is>
          <t>30 min</t>
        </is>
      </c>
      <c r="K19" s="9" t="inlineStr">
        <is>
          <t>30 min</t>
        </is>
      </c>
      <c r="L19" s="9" t="inlineStr">
        <is>
          <t>Code/Implement Membership</t>
        </is>
      </c>
      <c r="M19" s="9" t="inlineStr">
        <is>
          <t>15 min</t>
        </is>
      </c>
      <c r="N19" s="9" t="inlineStr">
        <is>
          <t>How do Membership operators work in Python?</t>
        </is>
      </c>
      <c r="O19" s="9" t="inlineStr">
        <is>
          <t>15 min</t>
        </is>
      </c>
      <c r="P19" s="9" t="inlineStr">
        <is>
          <t>Give a real life example of using Membership.</t>
        </is>
      </c>
      <c r="Q19" s="9" t="inlineStr">
        <is>
          <t>Build/Refine code</t>
        </is>
      </c>
      <c r="R19" s="9" t="inlineStr">
        <is>
          <t>-</t>
        </is>
      </c>
      <c r="S19" s="10" t="inlineStr">
        <is>
          <t>☐ Not Started</t>
        </is>
      </c>
      <c r="T19" s="10">
        <f>IF(S19="☑ Completed", "COMPLETED", "NOT STARTED")</f>
        <v/>
      </c>
      <c r="U19" s="9" t="inlineStr">
        <is>
          <t>Review Notes for Day 4</t>
        </is>
      </c>
    </row>
    <row r="20">
      <c r="A20" s="10" t="n">
        <v>4</v>
      </c>
      <c r="B20" s="10" t="inlineStr">
        <is>
          <t>2026-09-03</t>
        </is>
      </c>
      <c r="C20" s="10" t="n">
        <v>1</v>
      </c>
      <c r="D20" s="10" t="n">
        <v>1</v>
      </c>
      <c r="E20" s="9" t="inlineStr">
        <is>
          <t>Month 1</t>
        </is>
      </c>
      <c r="F20" s="9" t="inlineStr">
        <is>
          <t>Python</t>
        </is>
      </c>
      <c r="G20" s="9" t="inlineStr">
        <is>
          <t>Operators</t>
        </is>
      </c>
      <c r="H20" s="9" t="inlineStr">
        <is>
          <t>Identity</t>
        </is>
      </c>
      <c r="I20" s="9" t="inlineStr">
        <is>
          <t>Master Identity</t>
        </is>
      </c>
      <c r="J20" s="9" t="inlineStr">
        <is>
          <t>30 min</t>
        </is>
      </c>
      <c r="K20" s="9" t="inlineStr">
        <is>
          <t>30 min</t>
        </is>
      </c>
      <c r="L20" s="9" t="inlineStr">
        <is>
          <t>Code/Implement Identity</t>
        </is>
      </c>
      <c r="M20" s="9" t="inlineStr">
        <is>
          <t>15 min</t>
        </is>
      </c>
      <c r="N20" s="9" t="inlineStr">
        <is>
          <t>How do Identity operators work in Python?</t>
        </is>
      </c>
      <c r="O20" s="9" t="inlineStr">
        <is>
          <t>15 min</t>
        </is>
      </c>
      <c r="P20" s="9" t="inlineStr">
        <is>
          <t>Give a real life example of using Identity.</t>
        </is>
      </c>
      <c r="Q20" s="9" t="inlineStr">
        <is>
          <t>Build/Refine code</t>
        </is>
      </c>
      <c r="R20" s="9" t="inlineStr">
        <is>
          <t>-</t>
        </is>
      </c>
      <c r="S20" s="10" t="inlineStr">
        <is>
          <t>☐ Not Started</t>
        </is>
      </c>
      <c r="T20" s="10">
        <f>IF(S20="☑ Completed", "COMPLETED", "NOT STARTED")</f>
        <v/>
      </c>
      <c r="U20" s="9" t="inlineStr">
        <is>
          <t>Review Notes for Day 4</t>
        </is>
      </c>
    </row>
    <row r="21">
      <c r="A21" s="10" t="n">
        <v>4</v>
      </c>
      <c r="B21" s="10" t="inlineStr">
        <is>
          <t>2026-09-03</t>
        </is>
      </c>
      <c r="C21" s="10" t="n">
        <v>1</v>
      </c>
      <c r="D21" s="10" t="n">
        <v>1</v>
      </c>
      <c r="E21" s="9" t="inlineStr">
        <is>
          <t>Month 1</t>
        </is>
      </c>
      <c r="F21" s="9" t="inlineStr">
        <is>
          <t>Python</t>
        </is>
      </c>
      <c r="G21" s="9" t="inlineStr">
        <is>
          <t>Data Structures</t>
        </is>
      </c>
      <c r="H21" s="9" t="inlineStr">
        <is>
          <t>Strings</t>
        </is>
      </c>
      <c r="I21" s="9" t="inlineStr">
        <is>
          <t>Master Strings</t>
        </is>
      </c>
      <c r="J21" s="9" t="inlineStr">
        <is>
          <t>30 min</t>
        </is>
      </c>
      <c r="K21" s="9" t="inlineStr">
        <is>
          <t>30 min</t>
        </is>
      </c>
      <c r="L21" s="9" t="inlineStr">
        <is>
          <t>Code/Implement Strings</t>
        </is>
      </c>
      <c r="M21" s="9" t="inlineStr">
        <is>
          <t>15 min</t>
        </is>
      </c>
      <c r="N21" s="9" t="inlineStr">
        <is>
          <t>What is the time complexity of common Strings operations?</t>
        </is>
      </c>
      <c r="O21" s="9" t="inlineStr">
        <is>
          <t>15 min</t>
        </is>
      </c>
      <c r="P21" s="9" t="inlineStr">
        <is>
          <t>Compare Strings with another data structure in English.</t>
        </is>
      </c>
      <c r="Q21" s="9" t="inlineStr">
        <is>
          <t>Build/Refine code</t>
        </is>
      </c>
      <c r="R21" s="9" t="inlineStr">
        <is>
          <t>-</t>
        </is>
      </c>
      <c r="S21" s="10" t="inlineStr">
        <is>
          <t>☐ Not Started</t>
        </is>
      </c>
      <c r="T21" s="10">
        <f>IF(S21="☑ Completed", "COMPLETED", "NOT STARTED")</f>
        <v/>
      </c>
      <c r="U21" s="9" t="inlineStr">
        <is>
          <t>Review Notes for Day 4</t>
        </is>
      </c>
    </row>
    <row r="22">
      <c r="A22" s="10" t="n">
        <v>5</v>
      </c>
      <c r="B22" s="10" t="inlineStr">
        <is>
          <t>2026-09-04</t>
        </is>
      </c>
      <c r="C22" s="10" t="n">
        <v>1</v>
      </c>
      <c r="D22" s="10" t="n">
        <v>1</v>
      </c>
      <c r="E22" s="9" t="inlineStr">
        <is>
          <t>Month 1</t>
        </is>
      </c>
      <c r="F22" s="9" t="inlineStr">
        <is>
          <t>Python</t>
        </is>
      </c>
      <c r="G22" s="9" t="inlineStr">
        <is>
          <t>Data Structures</t>
        </is>
      </c>
      <c r="H22" s="9" t="inlineStr">
        <is>
          <t>String indexing</t>
        </is>
      </c>
      <c r="I22" s="9" t="inlineStr">
        <is>
          <t>Master String indexing</t>
        </is>
      </c>
      <c r="J22" s="9" t="inlineStr">
        <is>
          <t>45 min</t>
        </is>
      </c>
      <c r="K22" s="9" t="inlineStr">
        <is>
          <t>45 min</t>
        </is>
      </c>
      <c r="L22" s="9" t="inlineStr">
        <is>
          <t>Code/Implement String indexing</t>
        </is>
      </c>
      <c r="M22" s="9" t="inlineStr">
        <is>
          <t>15 min</t>
        </is>
      </c>
      <c r="N22" s="9" t="inlineStr">
        <is>
          <t>What is the time complexity of common String indexing operations?</t>
        </is>
      </c>
      <c r="O22" s="9" t="inlineStr">
        <is>
          <t>15 min</t>
        </is>
      </c>
      <c r="P22" s="9" t="inlineStr">
        <is>
          <t>Compare String indexing with another data structure in English.</t>
        </is>
      </c>
      <c r="Q22" s="9" t="inlineStr">
        <is>
          <t>Build/Refine code</t>
        </is>
      </c>
      <c r="R22" s="9" t="n">
        <v>5</v>
      </c>
      <c r="S22" s="10" t="inlineStr">
        <is>
          <t>☐ Not Started</t>
        </is>
      </c>
      <c r="T22" s="10">
        <f>IF(S22="☑ Completed", "COMPLETED", "NOT STARTED")</f>
        <v/>
      </c>
      <c r="U22" s="9" t="inlineStr">
        <is>
          <t>Review Notes for Day 5</t>
        </is>
      </c>
    </row>
    <row r="23">
      <c r="A23" s="10" t="n">
        <v>5</v>
      </c>
      <c r="B23" s="10" t="inlineStr">
        <is>
          <t>2026-09-04</t>
        </is>
      </c>
      <c r="C23" s="10" t="n">
        <v>1</v>
      </c>
      <c r="D23" s="10" t="n">
        <v>1</v>
      </c>
      <c r="E23" s="9" t="inlineStr">
        <is>
          <t>Month 1</t>
        </is>
      </c>
      <c r="F23" s="9" t="inlineStr">
        <is>
          <t>Python</t>
        </is>
      </c>
      <c r="G23" s="9" t="inlineStr">
        <is>
          <t>Data Structures</t>
        </is>
      </c>
      <c r="H23" s="9" t="inlineStr">
        <is>
          <t>String slicing</t>
        </is>
      </c>
      <c r="I23" s="9" t="inlineStr">
        <is>
          <t>Master String slicing</t>
        </is>
      </c>
      <c r="J23" s="9" t="inlineStr">
        <is>
          <t>30 min</t>
        </is>
      </c>
      <c r="K23" s="9" t="inlineStr">
        <is>
          <t>30 min</t>
        </is>
      </c>
      <c r="L23" s="9" t="inlineStr">
        <is>
          <t>Code/Implement String slicing</t>
        </is>
      </c>
      <c r="M23" s="9" t="inlineStr">
        <is>
          <t>15 min</t>
        </is>
      </c>
      <c r="N23" s="9" t="inlineStr">
        <is>
          <t>What is the time complexity of common String slicing operations?</t>
        </is>
      </c>
      <c r="O23" s="9" t="inlineStr">
        <is>
          <t>15 min</t>
        </is>
      </c>
      <c r="P23" s="9" t="inlineStr">
        <is>
          <t>Compare String slicing with another data structure in English.</t>
        </is>
      </c>
      <c r="Q23" s="9" t="inlineStr">
        <is>
          <t>Build/Refine code</t>
        </is>
      </c>
      <c r="R23" s="9" t="inlineStr">
        <is>
          <t>-</t>
        </is>
      </c>
      <c r="S23" s="10" t="inlineStr">
        <is>
          <t>☐ Not Started</t>
        </is>
      </c>
      <c r="T23" s="10">
        <f>IF(S23="☑ Completed", "COMPLETED", "NOT STARTED")</f>
        <v/>
      </c>
      <c r="U23" s="9" t="inlineStr">
        <is>
          <t>Review Notes for Day 5</t>
        </is>
      </c>
    </row>
    <row r="24">
      <c r="A24" s="10" t="n">
        <v>5</v>
      </c>
      <c r="B24" s="10" t="inlineStr">
        <is>
          <t>2026-09-04</t>
        </is>
      </c>
      <c r="C24" s="10" t="n">
        <v>1</v>
      </c>
      <c r="D24" s="10" t="n">
        <v>1</v>
      </c>
      <c r="E24" s="9" t="inlineStr">
        <is>
          <t>Month 1</t>
        </is>
      </c>
      <c r="F24" s="9" t="inlineStr">
        <is>
          <t>Python</t>
        </is>
      </c>
      <c r="G24" s="9" t="inlineStr">
        <is>
          <t>Data Structures</t>
        </is>
      </c>
      <c r="H24" s="9" t="inlineStr">
        <is>
          <t>String methods</t>
        </is>
      </c>
      <c r="I24" s="9" t="inlineStr">
        <is>
          <t>Master String methods</t>
        </is>
      </c>
      <c r="J24" s="9" t="inlineStr">
        <is>
          <t>30 min</t>
        </is>
      </c>
      <c r="K24" s="9" t="inlineStr">
        <is>
          <t>30 min</t>
        </is>
      </c>
      <c r="L24" s="9" t="inlineStr">
        <is>
          <t>Code/Implement String methods</t>
        </is>
      </c>
      <c r="M24" s="9" t="inlineStr">
        <is>
          <t>15 min</t>
        </is>
      </c>
      <c r="N24" s="9" t="inlineStr">
        <is>
          <t>What is the time complexity of common String methods operations?</t>
        </is>
      </c>
      <c r="O24" s="9" t="inlineStr">
        <is>
          <t>15 min</t>
        </is>
      </c>
      <c r="P24" s="9" t="inlineStr">
        <is>
          <t>Compare String methods with another data structure in English.</t>
        </is>
      </c>
      <c r="Q24" s="9" t="inlineStr">
        <is>
          <t>Build/Refine code</t>
        </is>
      </c>
      <c r="R24" s="9" t="inlineStr">
        <is>
          <t>-</t>
        </is>
      </c>
      <c r="S24" s="10" t="inlineStr">
        <is>
          <t>☐ Not Started</t>
        </is>
      </c>
      <c r="T24" s="10">
        <f>IF(S24="☑ Completed", "COMPLETED", "NOT STARTED")</f>
        <v/>
      </c>
      <c r="U24" s="9" t="inlineStr">
        <is>
          <t>Review Notes for Day 5</t>
        </is>
      </c>
    </row>
    <row r="25">
      <c r="A25" s="10" t="n">
        <v>5</v>
      </c>
      <c r="B25" s="10" t="inlineStr">
        <is>
          <t>2026-09-04</t>
        </is>
      </c>
      <c r="C25" s="10" t="n">
        <v>1</v>
      </c>
      <c r="D25" s="10" t="n">
        <v>1</v>
      </c>
      <c r="E25" s="9" t="inlineStr">
        <is>
          <t>Month 1</t>
        </is>
      </c>
      <c r="F25" s="9" t="inlineStr">
        <is>
          <t>Python</t>
        </is>
      </c>
      <c r="G25" s="9" t="inlineStr">
        <is>
          <t>Data Structures</t>
        </is>
      </c>
      <c r="H25" s="9" t="inlineStr">
        <is>
          <t>Lists</t>
        </is>
      </c>
      <c r="I25" s="9" t="inlineStr">
        <is>
          <t>Master Lists</t>
        </is>
      </c>
      <c r="J25" s="9" t="inlineStr">
        <is>
          <t>30 min</t>
        </is>
      </c>
      <c r="K25" s="9" t="inlineStr">
        <is>
          <t>30 min</t>
        </is>
      </c>
      <c r="L25" s="9" t="inlineStr">
        <is>
          <t>Code/Implement Lists</t>
        </is>
      </c>
      <c r="M25" s="9" t="inlineStr">
        <is>
          <t>15 min</t>
        </is>
      </c>
      <c r="N25" s="9" t="inlineStr">
        <is>
          <t>What is the time complexity of common Lists operations?</t>
        </is>
      </c>
      <c r="O25" s="9" t="inlineStr">
        <is>
          <t>15 min</t>
        </is>
      </c>
      <c r="P25" s="9" t="inlineStr">
        <is>
          <t>Compare Lists with another data structure in English.</t>
        </is>
      </c>
      <c r="Q25" s="9" t="inlineStr">
        <is>
          <t>Build/Refine code</t>
        </is>
      </c>
      <c r="R25" s="9" t="inlineStr">
        <is>
          <t>-</t>
        </is>
      </c>
      <c r="S25" s="10" t="inlineStr">
        <is>
          <t>☐ Not Started</t>
        </is>
      </c>
      <c r="T25" s="10">
        <f>IF(S25="☑ Completed", "COMPLETED", "NOT STARTED")</f>
        <v/>
      </c>
      <c r="U25" s="9" t="inlineStr">
        <is>
          <t>Review Notes for Day 5</t>
        </is>
      </c>
    </row>
    <row r="26">
      <c r="A26" s="10" t="n">
        <v>5</v>
      </c>
      <c r="B26" s="10" t="inlineStr">
        <is>
          <t>2026-09-04</t>
        </is>
      </c>
      <c r="C26" s="10" t="n">
        <v>1</v>
      </c>
      <c r="D26" s="10" t="n">
        <v>1</v>
      </c>
      <c r="E26" s="9" t="inlineStr">
        <is>
          <t>Month 1</t>
        </is>
      </c>
      <c r="F26" s="9" t="inlineStr">
        <is>
          <t>Python</t>
        </is>
      </c>
      <c r="G26" s="9" t="inlineStr">
        <is>
          <t>Data Structures</t>
        </is>
      </c>
      <c r="H26" s="9" t="inlineStr">
        <is>
          <t>List indexing</t>
        </is>
      </c>
      <c r="I26" s="9" t="inlineStr">
        <is>
          <t>Master List indexing</t>
        </is>
      </c>
      <c r="J26" s="9" t="inlineStr">
        <is>
          <t>30 min</t>
        </is>
      </c>
      <c r="K26" s="9" t="inlineStr">
        <is>
          <t>30 min</t>
        </is>
      </c>
      <c r="L26" s="9" t="inlineStr">
        <is>
          <t>Code/Implement List indexing</t>
        </is>
      </c>
      <c r="M26" s="9" t="inlineStr">
        <is>
          <t>15 min</t>
        </is>
      </c>
      <c r="N26" s="9" t="inlineStr">
        <is>
          <t>What is the time complexity of common List indexing operations?</t>
        </is>
      </c>
      <c r="O26" s="9" t="inlineStr">
        <is>
          <t>15 min</t>
        </is>
      </c>
      <c r="P26" s="9" t="inlineStr">
        <is>
          <t>Compare List indexing with another data structure in English.</t>
        </is>
      </c>
      <c r="Q26" s="9" t="inlineStr">
        <is>
          <t>Build/Refine code</t>
        </is>
      </c>
      <c r="R26" s="9" t="inlineStr">
        <is>
          <t>-</t>
        </is>
      </c>
      <c r="S26" s="10" t="inlineStr">
        <is>
          <t>☐ Not Started</t>
        </is>
      </c>
      <c r="T26" s="10">
        <f>IF(S26="☑ Completed", "COMPLETED", "NOT STARTED")</f>
        <v/>
      </c>
      <c r="U26" s="9" t="inlineStr">
        <is>
          <t>Review Notes for Day 5</t>
        </is>
      </c>
    </row>
    <row r="27">
      <c r="A27" s="10" t="n">
        <v>6</v>
      </c>
      <c r="B27" s="10" t="inlineStr">
        <is>
          <t>2026-09-05</t>
        </is>
      </c>
      <c r="C27" s="10" t="n">
        <v>1</v>
      </c>
      <c r="D27" s="10" t="n">
        <v>1</v>
      </c>
      <c r="E27" s="9" t="inlineStr">
        <is>
          <t>Month 1</t>
        </is>
      </c>
      <c r="F27" s="9" t="inlineStr">
        <is>
          <t>Python</t>
        </is>
      </c>
      <c r="G27" s="9" t="inlineStr">
        <is>
          <t>Data Structures</t>
        </is>
      </c>
      <c r="H27" s="9" t="inlineStr">
        <is>
          <t>List slicing</t>
        </is>
      </c>
      <c r="I27" s="9" t="inlineStr">
        <is>
          <t>Master List slicing</t>
        </is>
      </c>
      <c r="J27" s="9" t="inlineStr">
        <is>
          <t>45 min</t>
        </is>
      </c>
      <c r="K27" s="9" t="inlineStr">
        <is>
          <t>45 min</t>
        </is>
      </c>
      <c r="L27" s="9" t="inlineStr">
        <is>
          <t>Code/Implement List slicing</t>
        </is>
      </c>
      <c r="M27" s="9" t="inlineStr">
        <is>
          <t>15 min</t>
        </is>
      </c>
      <c r="N27" s="9" t="inlineStr">
        <is>
          <t>What is the time complexity of common List slicing operations?</t>
        </is>
      </c>
      <c r="O27" s="9" t="inlineStr">
        <is>
          <t>15 min</t>
        </is>
      </c>
      <c r="P27" s="9" t="inlineStr">
        <is>
          <t>Compare List slicing with another data structure in English.</t>
        </is>
      </c>
      <c r="Q27" s="9" t="inlineStr">
        <is>
          <t>Build/Refine code</t>
        </is>
      </c>
      <c r="R27" s="9" t="n">
        <v>5</v>
      </c>
      <c r="S27" s="10" t="inlineStr">
        <is>
          <t>☐ Not Started</t>
        </is>
      </c>
      <c r="T27" s="10">
        <f>IF(S27="☑ Completed", "COMPLETED", "NOT STARTED")</f>
        <v/>
      </c>
      <c r="U27" s="9" t="inlineStr">
        <is>
          <t>Review Notes for Day 6</t>
        </is>
      </c>
    </row>
    <row r="28">
      <c r="A28" s="10" t="n">
        <v>6</v>
      </c>
      <c r="B28" s="10" t="inlineStr">
        <is>
          <t>2026-09-05</t>
        </is>
      </c>
      <c r="C28" s="10" t="n">
        <v>1</v>
      </c>
      <c r="D28" s="10" t="n">
        <v>1</v>
      </c>
      <c r="E28" s="9" t="inlineStr">
        <is>
          <t>Month 1</t>
        </is>
      </c>
      <c r="F28" s="9" t="inlineStr">
        <is>
          <t>Python</t>
        </is>
      </c>
      <c r="G28" s="9" t="inlineStr">
        <is>
          <t>Data Structures</t>
        </is>
      </c>
      <c r="H28" s="9" t="inlineStr">
        <is>
          <t>List methods</t>
        </is>
      </c>
      <c r="I28" s="9" t="inlineStr">
        <is>
          <t>Master List methods</t>
        </is>
      </c>
      <c r="J28" s="9" t="inlineStr">
        <is>
          <t>30 min</t>
        </is>
      </c>
      <c r="K28" s="9" t="inlineStr">
        <is>
          <t>30 min</t>
        </is>
      </c>
      <c r="L28" s="9" t="inlineStr">
        <is>
          <t>Code/Implement List methods</t>
        </is>
      </c>
      <c r="M28" s="9" t="inlineStr">
        <is>
          <t>15 min</t>
        </is>
      </c>
      <c r="N28" s="9" t="inlineStr">
        <is>
          <t>What is the time complexity of common List methods operations?</t>
        </is>
      </c>
      <c r="O28" s="9" t="inlineStr">
        <is>
          <t>15 min</t>
        </is>
      </c>
      <c r="P28" s="9" t="inlineStr">
        <is>
          <t>Compare List methods with another data structure in English.</t>
        </is>
      </c>
      <c r="Q28" s="9" t="inlineStr">
        <is>
          <t>Build/Refine code</t>
        </is>
      </c>
      <c r="R28" s="9" t="inlineStr">
        <is>
          <t>-</t>
        </is>
      </c>
      <c r="S28" s="10" t="inlineStr">
        <is>
          <t>☐ Not Started</t>
        </is>
      </c>
      <c r="T28" s="10">
        <f>IF(S28="☑ Completed", "COMPLETED", "NOT STARTED")</f>
        <v/>
      </c>
      <c r="U28" s="9" t="inlineStr">
        <is>
          <t>Review Notes for Day 6</t>
        </is>
      </c>
    </row>
    <row r="29">
      <c r="A29" s="10" t="n">
        <v>6</v>
      </c>
      <c r="B29" s="10" t="inlineStr">
        <is>
          <t>2026-09-05</t>
        </is>
      </c>
      <c r="C29" s="10" t="n">
        <v>1</v>
      </c>
      <c r="D29" s="10" t="n">
        <v>1</v>
      </c>
      <c r="E29" s="9" t="inlineStr">
        <is>
          <t>Month 1</t>
        </is>
      </c>
      <c r="F29" s="9" t="inlineStr">
        <is>
          <t>Python</t>
        </is>
      </c>
      <c r="G29" s="9" t="inlineStr">
        <is>
          <t>Data Structures</t>
        </is>
      </c>
      <c r="H29" s="9" t="inlineStr">
        <is>
          <t>Tuples</t>
        </is>
      </c>
      <c r="I29" s="9" t="inlineStr">
        <is>
          <t>Master Tuples</t>
        </is>
      </c>
      <c r="J29" s="9" t="inlineStr">
        <is>
          <t>30 min</t>
        </is>
      </c>
      <c r="K29" s="9" t="inlineStr">
        <is>
          <t>30 min</t>
        </is>
      </c>
      <c r="L29" s="9" t="inlineStr">
        <is>
          <t>Code/Implement Tuples</t>
        </is>
      </c>
      <c r="M29" s="9" t="inlineStr">
        <is>
          <t>15 min</t>
        </is>
      </c>
      <c r="N29" s="9" t="inlineStr">
        <is>
          <t>What is the time complexity of common Tuples operations?</t>
        </is>
      </c>
      <c r="O29" s="9" t="inlineStr">
        <is>
          <t>15 min</t>
        </is>
      </c>
      <c r="P29" s="9" t="inlineStr">
        <is>
          <t>Compare Tuples with another data structure in English.</t>
        </is>
      </c>
      <c r="Q29" s="9" t="inlineStr">
        <is>
          <t>Build/Refine code</t>
        </is>
      </c>
      <c r="R29" s="9" t="inlineStr">
        <is>
          <t>-</t>
        </is>
      </c>
      <c r="S29" s="10" t="inlineStr">
        <is>
          <t>☐ Not Started</t>
        </is>
      </c>
      <c r="T29" s="10">
        <f>IF(S29="☑ Completed", "COMPLETED", "NOT STARTED")</f>
        <v/>
      </c>
      <c r="U29" s="9" t="inlineStr">
        <is>
          <t>Review Notes for Day 6</t>
        </is>
      </c>
    </row>
    <row r="30">
      <c r="A30" s="10" t="n">
        <v>6</v>
      </c>
      <c r="B30" s="10" t="inlineStr">
        <is>
          <t>2026-09-05</t>
        </is>
      </c>
      <c r="C30" s="10" t="n">
        <v>1</v>
      </c>
      <c r="D30" s="10" t="n">
        <v>1</v>
      </c>
      <c r="E30" s="9" t="inlineStr">
        <is>
          <t>Month 1</t>
        </is>
      </c>
      <c r="F30" s="9" t="inlineStr">
        <is>
          <t>Python</t>
        </is>
      </c>
      <c r="G30" s="9" t="inlineStr">
        <is>
          <t>Data Structures</t>
        </is>
      </c>
      <c r="H30" s="9" t="inlineStr">
        <is>
          <t>Tuple methods</t>
        </is>
      </c>
      <c r="I30" s="9" t="inlineStr">
        <is>
          <t>Master Tuple methods</t>
        </is>
      </c>
      <c r="J30" s="9" t="inlineStr">
        <is>
          <t>30 min</t>
        </is>
      </c>
      <c r="K30" s="9" t="inlineStr">
        <is>
          <t>30 min</t>
        </is>
      </c>
      <c r="L30" s="9" t="inlineStr">
        <is>
          <t>Code/Implement Tuple methods</t>
        </is>
      </c>
      <c r="M30" s="9" t="inlineStr">
        <is>
          <t>15 min</t>
        </is>
      </c>
      <c r="N30" s="9" t="inlineStr">
        <is>
          <t>What is the time complexity of common Tuple methods operations?</t>
        </is>
      </c>
      <c r="O30" s="9" t="inlineStr">
        <is>
          <t>15 min</t>
        </is>
      </c>
      <c r="P30" s="9" t="inlineStr">
        <is>
          <t>Compare Tuple methods with another data structure in English.</t>
        </is>
      </c>
      <c r="Q30" s="9" t="inlineStr">
        <is>
          <t>Build/Refine code</t>
        </is>
      </c>
      <c r="R30" s="9" t="inlineStr">
        <is>
          <t>-</t>
        </is>
      </c>
      <c r="S30" s="10" t="inlineStr">
        <is>
          <t>☐ Not Started</t>
        </is>
      </c>
      <c r="T30" s="10">
        <f>IF(S30="☑ Completed", "COMPLETED", "NOT STARTED")</f>
        <v/>
      </c>
      <c r="U30" s="9" t="inlineStr">
        <is>
          <t>Review Notes for Day 6</t>
        </is>
      </c>
    </row>
    <row r="31">
      <c r="A31" s="10" t="n">
        <v>6</v>
      </c>
      <c r="B31" s="10" t="inlineStr">
        <is>
          <t>2026-09-05</t>
        </is>
      </c>
      <c r="C31" s="10" t="n">
        <v>1</v>
      </c>
      <c r="D31" s="10" t="n">
        <v>1</v>
      </c>
      <c r="E31" s="9" t="inlineStr">
        <is>
          <t>Month 1</t>
        </is>
      </c>
      <c r="F31" s="9" t="inlineStr">
        <is>
          <t>Python</t>
        </is>
      </c>
      <c r="G31" s="9" t="inlineStr">
        <is>
          <t>Data Structures</t>
        </is>
      </c>
      <c r="H31" s="9" t="inlineStr">
        <is>
          <t>Sets</t>
        </is>
      </c>
      <c r="I31" s="9" t="inlineStr">
        <is>
          <t>Master Sets</t>
        </is>
      </c>
      <c r="J31" s="9" t="inlineStr">
        <is>
          <t>30 min</t>
        </is>
      </c>
      <c r="K31" s="9" t="inlineStr">
        <is>
          <t>30 min</t>
        </is>
      </c>
      <c r="L31" s="9" t="inlineStr">
        <is>
          <t>Code/Implement Sets</t>
        </is>
      </c>
      <c r="M31" s="9" t="inlineStr">
        <is>
          <t>15 min</t>
        </is>
      </c>
      <c r="N31" s="9" t="inlineStr">
        <is>
          <t>What is the time complexity of common Sets operations?</t>
        </is>
      </c>
      <c r="O31" s="9" t="inlineStr">
        <is>
          <t>15 min</t>
        </is>
      </c>
      <c r="P31" s="9" t="inlineStr">
        <is>
          <t>Compare Sets with another data structure in English.</t>
        </is>
      </c>
      <c r="Q31" s="9" t="inlineStr">
        <is>
          <t>Build/Refine code</t>
        </is>
      </c>
      <c r="R31" s="9" t="inlineStr">
        <is>
          <t>-</t>
        </is>
      </c>
      <c r="S31" s="10" t="inlineStr">
        <is>
          <t>☐ Not Started</t>
        </is>
      </c>
      <c r="T31" s="10">
        <f>IF(S31="☑ Completed", "COMPLETED", "NOT STARTED")</f>
        <v/>
      </c>
      <c r="U31" s="9" t="inlineStr">
        <is>
          <t>Review Notes for Day 6</t>
        </is>
      </c>
    </row>
    <row r="32">
      <c r="A32" s="10" t="n">
        <v>7</v>
      </c>
      <c r="B32" s="10" t="inlineStr">
        <is>
          <t>2026-09-06</t>
        </is>
      </c>
      <c r="C32" s="10" t="n">
        <v>1</v>
      </c>
      <c r="D32" s="10" t="n">
        <v>1</v>
      </c>
      <c r="E32" s="9" t="inlineStr">
        <is>
          <t>Month 1</t>
        </is>
      </c>
      <c r="F32" s="9" t="inlineStr">
        <is>
          <t>Python</t>
        </is>
      </c>
      <c r="G32" s="9" t="inlineStr">
        <is>
          <t>Data Structures</t>
        </is>
      </c>
      <c r="H32" s="9" t="inlineStr">
        <is>
          <t>Set operations</t>
        </is>
      </c>
      <c r="I32" s="9" t="inlineStr">
        <is>
          <t>Master Set operations</t>
        </is>
      </c>
      <c r="J32" s="9" t="inlineStr">
        <is>
          <t>45 min</t>
        </is>
      </c>
      <c r="K32" s="9" t="inlineStr">
        <is>
          <t>45 min</t>
        </is>
      </c>
      <c r="L32" s="9" t="inlineStr">
        <is>
          <t>Code/Implement Set operations</t>
        </is>
      </c>
      <c r="M32" s="9" t="inlineStr">
        <is>
          <t>15 min</t>
        </is>
      </c>
      <c r="N32" s="9" t="inlineStr">
        <is>
          <t>What is the time complexity of common Set operations operations?</t>
        </is>
      </c>
      <c r="O32" s="9" t="inlineStr">
        <is>
          <t>15 min</t>
        </is>
      </c>
      <c r="P32" s="9" t="inlineStr">
        <is>
          <t>Compare Set operations with another data structure in English.</t>
        </is>
      </c>
      <c r="Q32" s="9" t="inlineStr">
        <is>
          <t>Build/Refine code</t>
        </is>
      </c>
      <c r="R32" s="9" t="n">
        <v>5</v>
      </c>
      <c r="S32" s="10" t="inlineStr">
        <is>
          <t>☐ Not Started</t>
        </is>
      </c>
      <c r="T32" s="10">
        <f>IF(S32="☑ Completed", "COMPLETED", "NOT STARTED")</f>
        <v/>
      </c>
      <c r="U32" s="9" t="inlineStr">
        <is>
          <t>Review Notes for Day 7</t>
        </is>
      </c>
    </row>
    <row r="33">
      <c r="A33" s="10" t="n">
        <v>7</v>
      </c>
      <c r="B33" s="10" t="inlineStr">
        <is>
          <t>2026-09-06</t>
        </is>
      </c>
      <c r="C33" s="10" t="n">
        <v>1</v>
      </c>
      <c r="D33" s="10" t="n">
        <v>1</v>
      </c>
      <c r="E33" s="9" t="inlineStr">
        <is>
          <t>Month 1</t>
        </is>
      </c>
      <c r="F33" s="9" t="inlineStr">
        <is>
          <t>Python</t>
        </is>
      </c>
      <c r="G33" s="9" t="inlineStr">
        <is>
          <t>Data Structures</t>
        </is>
      </c>
      <c r="H33" s="9" t="inlineStr">
        <is>
          <t>Dictionaries</t>
        </is>
      </c>
      <c r="I33" s="9" t="inlineStr">
        <is>
          <t>Master Dictionaries</t>
        </is>
      </c>
      <c r="J33" s="9" t="inlineStr">
        <is>
          <t>30 min</t>
        </is>
      </c>
      <c r="K33" s="9" t="inlineStr">
        <is>
          <t>30 min</t>
        </is>
      </c>
      <c r="L33" s="9" t="inlineStr">
        <is>
          <t>Code/Implement Dictionaries</t>
        </is>
      </c>
      <c r="M33" s="9" t="inlineStr">
        <is>
          <t>15 min</t>
        </is>
      </c>
      <c r="N33" s="9" t="inlineStr">
        <is>
          <t>What is the time complexity of common Dictionaries operations?</t>
        </is>
      </c>
      <c r="O33" s="9" t="inlineStr">
        <is>
          <t>15 min</t>
        </is>
      </c>
      <c r="P33" s="9" t="inlineStr">
        <is>
          <t>Compare Dictionaries with another data structure in English.</t>
        </is>
      </c>
      <c r="Q33" s="9" t="inlineStr">
        <is>
          <t>Build/Refine code</t>
        </is>
      </c>
      <c r="R33" s="9" t="inlineStr">
        <is>
          <t>-</t>
        </is>
      </c>
      <c r="S33" s="10" t="inlineStr">
        <is>
          <t>☐ Not Started</t>
        </is>
      </c>
      <c r="T33" s="10">
        <f>IF(S33="☑ Completed", "COMPLETED", "NOT STARTED")</f>
        <v/>
      </c>
      <c r="U33" s="9" t="inlineStr">
        <is>
          <t>Review Notes for Day 7</t>
        </is>
      </c>
    </row>
    <row r="34">
      <c r="A34" s="10" t="n">
        <v>7</v>
      </c>
      <c r="B34" s="10" t="inlineStr">
        <is>
          <t>2026-09-06</t>
        </is>
      </c>
      <c r="C34" s="10" t="n">
        <v>1</v>
      </c>
      <c r="D34" s="10" t="n">
        <v>1</v>
      </c>
      <c r="E34" s="9" t="inlineStr">
        <is>
          <t>Month 1</t>
        </is>
      </c>
      <c r="F34" s="9" t="inlineStr">
        <is>
          <t>Python</t>
        </is>
      </c>
      <c r="G34" s="9" t="inlineStr">
        <is>
          <t>Data Structures</t>
        </is>
      </c>
      <c r="H34" s="9" t="inlineStr">
        <is>
          <t>Dictionary methods</t>
        </is>
      </c>
      <c r="I34" s="9" t="inlineStr">
        <is>
          <t>Master Dictionary methods</t>
        </is>
      </c>
      <c r="J34" s="9" t="inlineStr">
        <is>
          <t>30 min</t>
        </is>
      </c>
      <c r="K34" s="9" t="inlineStr">
        <is>
          <t>30 min</t>
        </is>
      </c>
      <c r="L34" s="9" t="inlineStr">
        <is>
          <t>Code/Implement Dictionary methods</t>
        </is>
      </c>
      <c r="M34" s="9" t="inlineStr">
        <is>
          <t>15 min</t>
        </is>
      </c>
      <c r="N34" s="9" t="inlineStr">
        <is>
          <t>What is the time complexity of common Dictionary methods operations?</t>
        </is>
      </c>
      <c r="O34" s="9" t="inlineStr">
        <is>
          <t>15 min</t>
        </is>
      </c>
      <c r="P34" s="9" t="inlineStr">
        <is>
          <t>Compare Dictionary methods with another data structure in English.</t>
        </is>
      </c>
      <c r="Q34" s="9" t="inlineStr">
        <is>
          <t>Build/Refine code</t>
        </is>
      </c>
      <c r="R34" s="9" t="inlineStr">
        <is>
          <t>-</t>
        </is>
      </c>
      <c r="S34" s="10" t="inlineStr">
        <is>
          <t>☐ Not Started</t>
        </is>
      </c>
      <c r="T34" s="10">
        <f>IF(S34="☑ Completed", "COMPLETED", "NOT STARTED")</f>
        <v/>
      </c>
      <c r="U34" s="9" t="inlineStr">
        <is>
          <t>Review Notes for Day 7</t>
        </is>
      </c>
    </row>
    <row r="35">
      <c r="A35" s="10" t="n">
        <v>7</v>
      </c>
      <c r="B35" s="10" t="inlineStr">
        <is>
          <t>2026-09-06</t>
        </is>
      </c>
      <c r="C35" s="10" t="n">
        <v>1</v>
      </c>
      <c r="D35" s="10" t="n">
        <v>1</v>
      </c>
      <c r="E35" s="9" t="inlineStr">
        <is>
          <t>Month 1</t>
        </is>
      </c>
      <c r="F35" s="9" t="inlineStr">
        <is>
          <t>Python</t>
        </is>
      </c>
      <c r="G35" s="9" t="inlineStr">
        <is>
          <t>Control Flow</t>
        </is>
      </c>
      <c r="H35" s="9" t="inlineStr">
        <is>
          <t>if</t>
        </is>
      </c>
      <c r="I35" s="9" t="inlineStr">
        <is>
          <t>Master if</t>
        </is>
      </c>
      <c r="J35" s="9" t="inlineStr">
        <is>
          <t>30 min</t>
        </is>
      </c>
      <c r="K35" s="9" t="inlineStr">
        <is>
          <t>30 min</t>
        </is>
      </c>
      <c r="L35" s="9" t="inlineStr">
        <is>
          <t>Code/Implement if</t>
        </is>
      </c>
      <c r="M35" s="9" t="inlineStr">
        <is>
          <t>15 min</t>
        </is>
      </c>
      <c r="N35" s="9" t="inlineStr">
        <is>
          <t>When would you use if instead of an alternative?</t>
        </is>
      </c>
      <c r="O35" s="9" t="inlineStr">
        <is>
          <t>15 min</t>
        </is>
      </c>
      <c r="P35" s="9" t="inlineStr">
        <is>
          <t>Explain the logic of if out loud.</t>
        </is>
      </c>
      <c r="Q35" s="9" t="inlineStr">
        <is>
          <t>Build/Refine code</t>
        </is>
      </c>
      <c r="R35" s="9" t="inlineStr">
        <is>
          <t>-</t>
        </is>
      </c>
      <c r="S35" s="10" t="inlineStr">
        <is>
          <t>☐ Not Started</t>
        </is>
      </c>
      <c r="T35" s="10">
        <f>IF(S35="☑ Completed", "COMPLETED", "NOT STARTED")</f>
        <v/>
      </c>
      <c r="U35" s="9" t="inlineStr">
        <is>
          <t>Review Notes for Day 7</t>
        </is>
      </c>
    </row>
    <row r="36">
      <c r="A36" s="10" t="n">
        <v>7</v>
      </c>
      <c r="B36" s="10" t="inlineStr">
        <is>
          <t>2026-09-06</t>
        </is>
      </c>
      <c r="C36" s="10" t="n">
        <v>1</v>
      </c>
      <c r="D36" s="10" t="n">
        <v>1</v>
      </c>
      <c r="E36" s="9" t="inlineStr">
        <is>
          <t>Month 1</t>
        </is>
      </c>
      <c r="F36" s="9" t="inlineStr">
        <is>
          <t>Python</t>
        </is>
      </c>
      <c r="G36" s="9" t="inlineStr">
        <is>
          <t>Control Flow</t>
        </is>
      </c>
      <c r="H36" s="9" t="inlineStr">
        <is>
          <t>elif</t>
        </is>
      </c>
      <c r="I36" s="9" t="inlineStr">
        <is>
          <t>Master elif</t>
        </is>
      </c>
      <c r="J36" s="9" t="inlineStr">
        <is>
          <t>30 min</t>
        </is>
      </c>
      <c r="K36" s="9" t="inlineStr">
        <is>
          <t>30 min</t>
        </is>
      </c>
      <c r="L36" s="9" t="inlineStr">
        <is>
          <t>Code/Implement elif</t>
        </is>
      </c>
      <c r="M36" s="9" t="inlineStr">
        <is>
          <t>15 min</t>
        </is>
      </c>
      <c r="N36" s="9" t="inlineStr">
        <is>
          <t>When would you use elif instead of an alternative?</t>
        </is>
      </c>
      <c r="O36" s="9" t="inlineStr">
        <is>
          <t>15 min</t>
        </is>
      </c>
      <c r="P36" s="9" t="inlineStr">
        <is>
          <t>Explain the logic of elif out loud.</t>
        </is>
      </c>
      <c r="Q36" s="9" t="inlineStr">
        <is>
          <t>Build/Refine code</t>
        </is>
      </c>
      <c r="R36" s="9" t="inlineStr">
        <is>
          <t>-</t>
        </is>
      </c>
      <c r="S36" s="10" t="inlineStr">
        <is>
          <t>☐ Not Started</t>
        </is>
      </c>
      <c r="T36" s="10">
        <f>IF(S36="☑ Completed", "COMPLETED", "NOT STARTED")</f>
        <v/>
      </c>
      <c r="U36" s="9" t="inlineStr">
        <is>
          <t>Review Notes for Day 7</t>
        </is>
      </c>
    </row>
    <row r="37">
      <c r="A37" s="10" t="n">
        <v>8</v>
      </c>
      <c r="B37" s="10" t="inlineStr">
        <is>
          <t>2026-09-07</t>
        </is>
      </c>
      <c r="C37" s="10" t="n">
        <v>2</v>
      </c>
      <c r="D37" s="10" t="n">
        <v>1</v>
      </c>
      <c r="E37" s="9" t="inlineStr">
        <is>
          <t>Month 1</t>
        </is>
      </c>
      <c r="F37" s="9" t="inlineStr">
        <is>
          <t>Python</t>
        </is>
      </c>
      <c r="G37" s="9" t="inlineStr">
        <is>
          <t>Control Flow</t>
        </is>
      </c>
      <c r="H37" s="9" t="inlineStr">
        <is>
          <t>else</t>
        </is>
      </c>
      <c r="I37" s="9" t="inlineStr">
        <is>
          <t>Master else</t>
        </is>
      </c>
      <c r="J37" s="9" t="inlineStr">
        <is>
          <t>45 min</t>
        </is>
      </c>
      <c r="K37" s="9" t="inlineStr">
        <is>
          <t>45 min</t>
        </is>
      </c>
      <c r="L37" s="9" t="inlineStr">
        <is>
          <t>Code/Implement else</t>
        </is>
      </c>
      <c r="M37" s="9" t="inlineStr">
        <is>
          <t>15 min</t>
        </is>
      </c>
      <c r="N37" s="9" t="inlineStr">
        <is>
          <t>When would you use else instead of an alternative?</t>
        </is>
      </c>
      <c r="O37" s="9" t="inlineStr">
        <is>
          <t>15 min</t>
        </is>
      </c>
      <c r="P37" s="9" t="inlineStr">
        <is>
          <t>Explain the logic of else out loud.</t>
        </is>
      </c>
      <c r="Q37" s="9" t="inlineStr">
        <is>
          <t>Build/Refine code</t>
        </is>
      </c>
      <c r="R37" s="9" t="n">
        <v>5</v>
      </c>
      <c r="S37" s="10" t="inlineStr">
        <is>
          <t>☐ Not Started</t>
        </is>
      </c>
      <c r="T37" s="10">
        <f>IF(S37="☑ Completed", "COMPLETED", "NOT STARTED")</f>
        <v/>
      </c>
      <c r="U37" s="9" t="inlineStr">
        <is>
          <t>Review Notes for Day 8</t>
        </is>
      </c>
    </row>
    <row r="38">
      <c r="A38" s="10" t="n">
        <v>8</v>
      </c>
      <c r="B38" s="10" t="inlineStr">
        <is>
          <t>2026-09-07</t>
        </is>
      </c>
      <c r="C38" s="10" t="n">
        <v>2</v>
      </c>
      <c r="D38" s="10" t="n">
        <v>1</v>
      </c>
      <c r="E38" s="9" t="inlineStr">
        <is>
          <t>Month 1</t>
        </is>
      </c>
      <c r="F38" s="9" t="inlineStr">
        <is>
          <t>Python</t>
        </is>
      </c>
      <c r="G38" s="9" t="inlineStr">
        <is>
          <t>Control Flow</t>
        </is>
      </c>
      <c r="H38" s="9" t="inlineStr">
        <is>
          <t>Nested conditions</t>
        </is>
      </c>
      <c r="I38" s="9" t="inlineStr">
        <is>
          <t>Master Nested conditions</t>
        </is>
      </c>
      <c r="J38" s="9" t="inlineStr">
        <is>
          <t>30 min</t>
        </is>
      </c>
      <c r="K38" s="9" t="inlineStr">
        <is>
          <t>30 min</t>
        </is>
      </c>
      <c r="L38" s="9" t="inlineStr">
        <is>
          <t>Code/Implement Nested conditions</t>
        </is>
      </c>
      <c r="M38" s="9" t="inlineStr">
        <is>
          <t>15 min</t>
        </is>
      </c>
      <c r="N38" s="9" t="inlineStr">
        <is>
          <t>When would you use Nested conditions instead of an alternative?</t>
        </is>
      </c>
      <c r="O38" s="9" t="inlineStr">
        <is>
          <t>15 min</t>
        </is>
      </c>
      <c r="P38" s="9" t="inlineStr">
        <is>
          <t>Explain the logic of Nested conditions out loud.</t>
        </is>
      </c>
      <c r="Q38" s="9" t="inlineStr">
        <is>
          <t>Build/Refine code</t>
        </is>
      </c>
      <c r="R38" s="9" t="inlineStr">
        <is>
          <t>-</t>
        </is>
      </c>
      <c r="S38" s="10" t="inlineStr">
        <is>
          <t>☐ Not Started</t>
        </is>
      </c>
      <c r="T38" s="10">
        <f>IF(S38="☑ Completed", "COMPLETED", "NOT STARTED")</f>
        <v/>
      </c>
      <c r="U38" s="9" t="inlineStr">
        <is>
          <t>Review Notes for Day 8</t>
        </is>
      </c>
    </row>
    <row r="39">
      <c r="A39" s="10" t="n">
        <v>8</v>
      </c>
      <c r="B39" s="10" t="inlineStr">
        <is>
          <t>2026-09-07</t>
        </is>
      </c>
      <c r="C39" s="10" t="n">
        <v>2</v>
      </c>
      <c r="D39" s="10" t="n">
        <v>1</v>
      </c>
      <c r="E39" s="9" t="inlineStr">
        <is>
          <t>Month 1</t>
        </is>
      </c>
      <c r="F39" s="9" t="inlineStr">
        <is>
          <t>Python</t>
        </is>
      </c>
      <c r="G39" s="9" t="inlineStr">
        <is>
          <t>Control Flow</t>
        </is>
      </c>
      <c r="H39" s="9" t="inlineStr">
        <is>
          <t>for loop</t>
        </is>
      </c>
      <c r="I39" s="9" t="inlineStr">
        <is>
          <t>Master for loop</t>
        </is>
      </c>
      <c r="J39" s="9" t="inlineStr">
        <is>
          <t>30 min</t>
        </is>
      </c>
      <c r="K39" s="9" t="inlineStr">
        <is>
          <t>30 min</t>
        </is>
      </c>
      <c r="L39" s="9" t="inlineStr">
        <is>
          <t>Code/Implement for loop</t>
        </is>
      </c>
      <c r="M39" s="9" t="inlineStr">
        <is>
          <t>15 min</t>
        </is>
      </c>
      <c r="N39" s="9" t="inlineStr">
        <is>
          <t>When would you use for loop instead of an alternative?</t>
        </is>
      </c>
      <c r="O39" s="9" t="inlineStr">
        <is>
          <t>15 min</t>
        </is>
      </c>
      <c r="P39" s="9" t="inlineStr">
        <is>
          <t>Explain the logic of for loop out loud.</t>
        </is>
      </c>
      <c r="Q39" s="9" t="inlineStr">
        <is>
          <t>Build/Refine code</t>
        </is>
      </c>
      <c r="R39" s="9" t="inlineStr">
        <is>
          <t>-</t>
        </is>
      </c>
      <c r="S39" s="10" t="inlineStr">
        <is>
          <t>☐ Not Started</t>
        </is>
      </c>
      <c r="T39" s="10">
        <f>IF(S39="☑ Completed", "COMPLETED", "NOT STARTED")</f>
        <v/>
      </c>
      <c r="U39" s="9" t="inlineStr">
        <is>
          <t>Review Notes for Day 8</t>
        </is>
      </c>
    </row>
    <row r="40">
      <c r="A40" s="10" t="n">
        <v>8</v>
      </c>
      <c r="B40" s="10" t="inlineStr">
        <is>
          <t>2026-09-07</t>
        </is>
      </c>
      <c r="C40" s="10" t="n">
        <v>2</v>
      </c>
      <c r="D40" s="10" t="n">
        <v>1</v>
      </c>
      <c r="E40" s="9" t="inlineStr">
        <is>
          <t>Month 1</t>
        </is>
      </c>
      <c r="F40" s="9" t="inlineStr">
        <is>
          <t>Python</t>
        </is>
      </c>
      <c r="G40" s="9" t="inlineStr">
        <is>
          <t>Control Flow</t>
        </is>
      </c>
      <c r="H40" s="9" t="inlineStr">
        <is>
          <t>while loop</t>
        </is>
      </c>
      <c r="I40" s="9" t="inlineStr">
        <is>
          <t>Master while loop</t>
        </is>
      </c>
      <c r="J40" s="9" t="inlineStr">
        <is>
          <t>30 min</t>
        </is>
      </c>
      <c r="K40" s="9" t="inlineStr">
        <is>
          <t>30 min</t>
        </is>
      </c>
      <c r="L40" s="9" t="inlineStr">
        <is>
          <t>Code/Implement while loop</t>
        </is>
      </c>
      <c r="M40" s="9" t="inlineStr">
        <is>
          <t>15 min</t>
        </is>
      </c>
      <c r="N40" s="9" t="inlineStr">
        <is>
          <t>When would you use while loop instead of an alternative?</t>
        </is>
      </c>
      <c r="O40" s="9" t="inlineStr">
        <is>
          <t>15 min</t>
        </is>
      </c>
      <c r="P40" s="9" t="inlineStr">
        <is>
          <t>Explain the logic of while loop out loud.</t>
        </is>
      </c>
      <c r="Q40" s="9" t="inlineStr">
        <is>
          <t>Build/Refine code</t>
        </is>
      </c>
      <c r="R40" s="9" t="inlineStr">
        <is>
          <t>-</t>
        </is>
      </c>
      <c r="S40" s="10" t="inlineStr">
        <is>
          <t>☐ Not Started</t>
        </is>
      </c>
      <c r="T40" s="10">
        <f>IF(S40="☑ Completed", "COMPLETED", "NOT STARTED")</f>
        <v/>
      </c>
      <c r="U40" s="9" t="inlineStr">
        <is>
          <t>Review Notes for Day 8</t>
        </is>
      </c>
    </row>
    <row r="41">
      <c r="A41" s="10" t="n">
        <v>8</v>
      </c>
      <c r="B41" s="10" t="inlineStr">
        <is>
          <t>2026-09-07</t>
        </is>
      </c>
      <c r="C41" s="10" t="n">
        <v>2</v>
      </c>
      <c r="D41" s="10" t="n">
        <v>1</v>
      </c>
      <c r="E41" s="9" t="inlineStr">
        <is>
          <t>Month 1</t>
        </is>
      </c>
      <c r="F41" s="9" t="inlineStr">
        <is>
          <t>Python</t>
        </is>
      </c>
      <c r="G41" s="9" t="inlineStr">
        <is>
          <t>Control Flow</t>
        </is>
      </c>
      <c r="H41" s="9" t="inlineStr">
        <is>
          <t>break</t>
        </is>
      </c>
      <c r="I41" s="9" t="inlineStr">
        <is>
          <t>Master break</t>
        </is>
      </c>
      <c r="J41" s="9" t="inlineStr">
        <is>
          <t>30 min</t>
        </is>
      </c>
      <c r="K41" s="9" t="inlineStr">
        <is>
          <t>30 min</t>
        </is>
      </c>
      <c r="L41" s="9" t="inlineStr">
        <is>
          <t>Code/Implement break</t>
        </is>
      </c>
      <c r="M41" s="9" t="inlineStr">
        <is>
          <t>15 min</t>
        </is>
      </c>
      <c r="N41" s="9" t="inlineStr">
        <is>
          <t>When would you use break instead of an alternative?</t>
        </is>
      </c>
      <c r="O41" s="9" t="inlineStr">
        <is>
          <t>15 min</t>
        </is>
      </c>
      <c r="P41" s="9" t="inlineStr">
        <is>
          <t>Explain the logic of break out loud.</t>
        </is>
      </c>
      <c r="Q41" s="9" t="inlineStr">
        <is>
          <t>Build/Refine code</t>
        </is>
      </c>
      <c r="R41" s="9" t="inlineStr">
        <is>
          <t>-</t>
        </is>
      </c>
      <c r="S41" s="10" t="inlineStr">
        <is>
          <t>☐ Not Started</t>
        </is>
      </c>
      <c r="T41" s="10">
        <f>IF(S41="☑ Completed", "COMPLETED", "NOT STARTED")</f>
        <v/>
      </c>
      <c r="U41" s="9" t="inlineStr">
        <is>
          <t>Review Notes for Day 8</t>
        </is>
      </c>
    </row>
    <row r="42">
      <c r="A42" s="10" t="n">
        <v>9</v>
      </c>
      <c r="B42" s="10" t="inlineStr">
        <is>
          <t>2026-09-08</t>
        </is>
      </c>
      <c r="C42" s="10" t="n">
        <v>2</v>
      </c>
      <c r="D42" s="10" t="n">
        <v>1</v>
      </c>
      <c r="E42" s="9" t="inlineStr">
        <is>
          <t>Month 1</t>
        </is>
      </c>
      <c r="F42" s="9" t="inlineStr">
        <is>
          <t>Python</t>
        </is>
      </c>
      <c r="G42" s="9" t="inlineStr">
        <is>
          <t>Control Flow</t>
        </is>
      </c>
      <c r="H42" s="9" t="inlineStr">
        <is>
          <t>continue</t>
        </is>
      </c>
      <c r="I42" s="9" t="inlineStr">
        <is>
          <t>Master continue</t>
        </is>
      </c>
      <c r="J42" s="9" t="inlineStr">
        <is>
          <t>45 min</t>
        </is>
      </c>
      <c r="K42" s="9" t="inlineStr">
        <is>
          <t>45 min</t>
        </is>
      </c>
      <c r="L42" s="9" t="inlineStr">
        <is>
          <t>Code/Implement continue</t>
        </is>
      </c>
      <c r="M42" s="9" t="inlineStr">
        <is>
          <t>15 min</t>
        </is>
      </c>
      <c r="N42" s="9" t="inlineStr">
        <is>
          <t>When would you use continue instead of an alternative?</t>
        </is>
      </c>
      <c r="O42" s="9" t="inlineStr">
        <is>
          <t>15 min</t>
        </is>
      </c>
      <c r="P42" s="9" t="inlineStr">
        <is>
          <t>Explain the logic of continue out loud.</t>
        </is>
      </c>
      <c r="Q42" s="9" t="inlineStr">
        <is>
          <t>Build/Refine code</t>
        </is>
      </c>
      <c r="R42" s="9" t="n">
        <v>5</v>
      </c>
      <c r="S42" s="10" t="inlineStr">
        <is>
          <t>☐ Not Started</t>
        </is>
      </c>
      <c r="T42" s="10">
        <f>IF(S42="☑ Completed", "COMPLETED", "NOT STARTED")</f>
        <v/>
      </c>
      <c r="U42" s="9" t="inlineStr">
        <is>
          <t>Review Notes for Day 9</t>
        </is>
      </c>
    </row>
    <row r="43">
      <c r="A43" s="10" t="n">
        <v>9</v>
      </c>
      <c r="B43" s="10" t="inlineStr">
        <is>
          <t>2026-09-08</t>
        </is>
      </c>
      <c r="C43" s="10" t="n">
        <v>2</v>
      </c>
      <c r="D43" s="10" t="n">
        <v>1</v>
      </c>
      <c r="E43" s="9" t="inlineStr">
        <is>
          <t>Month 1</t>
        </is>
      </c>
      <c r="F43" s="9" t="inlineStr">
        <is>
          <t>Python</t>
        </is>
      </c>
      <c r="G43" s="9" t="inlineStr">
        <is>
          <t>Control Flow</t>
        </is>
      </c>
      <c r="H43" s="9" t="inlineStr">
        <is>
          <t>pass</t>
        </is>
      </c>
      <c r="I43" s="9" t="inlineStr">
        <is>
          <t>Master pass</t>
        </is>
      </c>
      <c r="J43" s="9" t="inlineStr">
        <is>
          <t>30 min</t>
        </is>
      </c>
      <c r="K43" s="9" t="inlineStr">
        <is>
          <t>30 min</t>
        </is>
      </c>
      <c r="L43" s="9" t="inlineStr">
        <is>
          <t>Code/Implement pass</t>
        </is>
      </c>
      <c r="M43" s="9" t="inlineStr">
        <is>
          <t>15 min</t>
        </is>
      </c>
      <c r="N43" s="9" t="inlineStr">
        <is>
          <t>When would you use pass instead of an alternative?</t>
        </is>
      </c>
      <c r="O43" s="9" t="inlineStr">
        <is>
          <t>15 min</t>
        </is>
      </c>
      <c r="P43" s="9" t="inlineStr">
        <is>
          <t>Explain the logic of pass out loud.</t>
        </is>
      </c>
      <c r="Q43" s="9" t="inlineStr">
        <is>
          <t>Build/Refine code</t>
        </is>
      </c>
      <c r="R43" s="9" t="inlineStr">
        <is>
          <t>-</t>
        </is>
      </c>
      <c r="S43" s="10" t="inlineStr">
        <is>
          <t>☐ Not Started</t>
        </is>
      </c>
      <c r="T43" s="10">
        <f>IF(S43="☑ Completed", "COMPLETED", "NOT STARTED")</f>
        <v/>
      </c>
      <c r="U43" s="9" t="inlineStr">
        <is>
          <t>Review Notes for Day 9</t>
        </is>
      </c>
    </row>
    <row r="44">
      <c r="A44" s="10" t="n">
        <v>9</v>
      </c>
      <c r="B44" s="10" t="inlineStr">
        <is>
          <t>2026-09-08</t>
        </is>
      </c>
      <c r="C44" s="10" t="n">
        <v>2</v>
      </c>
      <c r="D44" s="10" t="n">
        <v>1</v>
      </c>
      <c r="E44" s="9" t="inlineStr">
        <is>
          <t>Month 1</t>
        </is>
      </c>
      <c r="F44" s="9" t="inlineStr">
        <is>
          <t>Python</t>
        </is>
      </c>
      <c r="G44" s="9" t="inlineStr">
        <is>
          <t>Control Flow</t>
        </is>
      </c>
      <c r="H44" s="9" t="inlineStr">
        <is>
          <t>range()</t>
        </is>
      </c>
      <c r="I44" s="9" t="inlineStr">
        <is>
          <t>Master range()</t>
        </is>
      </c>
      <c r="J44" s="9" t="inlineStr">
        <is>
          <t>30 min</t>
        </is>
      </c>
      <c r="K44" s="9" t="inlineStr">
        <is>
          <t>30 min</t>
        </is>
      </c>
      <c r="L44" s="9" t="inlineStr">
        <is>
          <t>Code/Implement range()</t>
        </is>
      </c>
      <c r="M44" s="9" t="inlineStr">
        <is>
          <t>15 min</t>
        </is>
      </c>
      <c r="N44" s="9" t="inlineStr">
        <is>
          <t>When would you use range() instead of an alternative?</t>
        </is>
      </c>
      <c r="O44" s="9" t="inlineStr">
        <is>
          <t>15 min</t>
        </is>
      </c>
      <c r="P44" s="9" t="inlineStr">
        <is>
          <t>Explain the logic of range() out loud.</t>
        </is>
      </c>
      <c r="Q44" s="9" t="inlineStr">
        <is>
          <t>Build/Refine code</t>
        </is>
      </c>
      <c r="R44" s="9" t="inlineStr">
        <is>
          <t>-</t>
        </is>
      </c>
      <c r="S44" s="10" t="inlineStr">
        <is>
          <t>☐ Not Started</t>
        </is>
      </c>
      <c r="T44" s="10">
        <f>IF(S44="☑ Completed", "COMPLETED", "NOT STARTED")</f>
        <v/>
      </c>
      <c r="U44" s="9" t="inlineStr">
        <is>
          <t>Review Notes for Day 9</t>
        </is>
      </c>
    </row>
    <row r="45">
      <c r="A45" s="10" t="n">
        <v>9</v>
      </c>
      <c r="B45" s="10" t="inlineStr">
        <is>
          <t>2026-09-08</t>
        </is>
      </c>
      <c r="C45" s="10" t="n">
        <v>2</v>
      </c>
      <c r="D45" s="10" t="n">
        <v>1</v>
      </c>
      <c r="E45" s="9" t="inlineStr">
        <is>
          <t>Month 1</t>
        </is>
      </c>
      <c r="F45" s="9" t="inlineStr">
        <is>
          <t>Python</t>
        </is>
      </c>
      <c r="G45" s="9" t="inlineStr">
        <is>
          <t>Functions</t>
        </is>
      </c>
      <c r="H45" s="9" t="inlineStr">
        <is>
          <t>Function arguments</t>
        </is>
      </c>
      <c r="I45" s="9" t="inlineStr">
        <is>
          <t>Master Function arguments</t>
        </is>
      </c>
      <c r="J45" s="9" t="inlineStr">
        <is>
          <t>30 min</t>
        </is>
      </c>
      <c r="K45" s="9" t="inlineStr">
        <is>
          <t>30 min</t>
        </is>
      </c>
      <c r="L45" s="9" t="inlineStr">
        <is>
          <t>Code/Implement Function arguments</t>
        </is>
      </c>
      <c r="M45" s="9" t="inlineStr">
        <is>
          <t>15 min</t>
        </is>
      </c>
      <c r="N45" s="9" t="inlineStr">
        <is>
          <t>How does Function arguments improve code readability?</t>
        </is>
      </c>
      <c r="O45" s="9" t="inlineStr">
        <is>
          <t>15 min</t>
        </is>
      </c>
      <c r="P45" s="9" t="inlineStr">
        <is>
          <t>Describe a scenario where you used Function arguments.</t>
        </is>
      </c>
      <c r="Q45" s="9" t="inlineStr">
        <is>
          <t>Build/Refine code</t>
        </is>
      </c>
      <c r="R45" s="9" t="inlineStr">
        <is>
          <t>-</t>
        </is>
      </c>
      <c r="S45" s="10" t="inlineStr">
        <is>
          <t>☐ Not Started</t>
        </is>
      </c>
      <c r="T45" s="10">
        <f>IF(S45="☑ Completed", "COMPLETED", "NOT STARTED")</f>
        <v/>
      </c>
      <c r="U45" s="9" t="inlineStr">
        <is>
          <t>Review Notes for Day 9</t>
        </is>
      </c>
    </row>
    <row r="46">
      <c r="A46" s="10" t="n">
        <v>9</v>
      </c>
      <c r="B46" s="10" t="inlineStr">
        <is>
          <t>2026-09-08</t>
        </is>
      </c>
      <c r="C46" s="10" t="n">
        <v>2</v>
      </c>
      <c r="D46" s="10" t="n">
        <v>1</v>
      </c>
      <c r="E46" s="9" t="inlineStr">
        <is>
          <t>Month 1</t>
        </is>
      </c>
      <c r="F46" s="9" t="inlineStr">
        <is>
          <t>Python</t>
        </is>
      </c>
      <c r="G46" s="9" t="inlineStr">
        <is>
          <t>Functions</t>
        </is>
      </c>
      <c r="H46" s="9" t="inlineStr">
        <is>
          <t>Default arguments</t>
        </is>
      </c>
      <c r="I46" s="9" t="inlineStr">
        <is>
          <t>Master Default arguments</t>
        </is>
      </c>
      <c r="J46" s="9" t="inlineStr">
        <is>
          <t>30 min</t>
        </is>
      </c>
      <c r="K46" s="9" t="inlineStr">
        <is>
          <t>30 min</t>
        </is>
      </c>
      <c r="L46" s="9" t="inlineStr">
        <is>
          <t>Code/Implement Default arguments</t>
        </is>
      </c>
      <c r="M46" s="9" t="inlineStr">
        <is>
          <t>15 min</t>
        </is>
      </c>
      <c r="N46" s="9" t="inlineStr">
        <is>
          <t>How does Default arguments improve code readability?</t>
        </is>
      </c>
      <c r="O46" s="9" t="inlineStr">
        <is>
          <t>15 min</t>
        </is>
      </c>
      <c r="P46" s="9" t="inlineStr">
        <is>
          <t>Describe a scenario where you used Default arguments.</t>
        </is>
      </c>
      <c r="Q46" s="9" t="inlineStr">
        <is>
          <t>Build/Refine code</t>
        </is>
      </c>
      <c r="R46" s="9" t="inlineStr">
        <is>
          <t>-</t>
        </is>
      </c>
      <c r="S46" s="10" t="inlineStr">
        <is>
          <t>☐ Not Started</t>
        </is>
      </c>
      <c r="T46" s="10">
        <f>IF(S46="☑ Completed", "COMPLETED", "NOT STARTED")</f>
        <v/>
      </c>
      <c r="U46" s="9" t="inlineStr">
        <is>
          <t>Review Notes for Day 9</t>
        </is>
      </c>
    </row>
    <row r="47">
      <c r="A47" s="10" t="n">
        <v>10</v>
      </c>
      <c r="B47" s="10" t="inlineStr">
        <is>
          <t>2026-09-09</t>
        </is>
      </c>
      <c r="C47" s="10" t="n">
        <v>2</v>
      </c>
      <c r="D47" s="10" t="n">
        <v>1</v>
      </c>
      <c r="E47" s="9" t="inlineStr">
        <is>
          <t>Month 1</t>
        </is>
      </c>
      <c r="F47" s="9" t="inlineStr">
        <is>
          <t>Python</t>
        </is>
      </c>
      <c r="G47" s="9" t="inlineStr">
        <is>
          <t>Functions</t>
        </is>
      </c>
      <c r="H47" s="9" t="inlineStr">
        <is>
          <t>Keyword arguments</t>
        </is>
      </c>
      <c r="I47" s="9" t="inlineStr">
        <is>
          <t>Master Keyword arguments</t>
        </is>
      </c>
      <c r="J47" s="9" t="inlineStr">
        <is>
          <t>45 min</t>
        </is>
      </c>
      <c r="K47" s="9" t="inlineStr">
        <is>
          <t>45 min</t>
        </is>
      </c>
      <c r="L47" s="9" t="inlineStr">
        <is>
          <t>Code/Implement Keyword arguments</t>
        </is>
      </c>
      <c r="M47" s="9" t="inlineStr">
        <is>
          <t>15 min</t>
        </is>
      </c>
      <c r="N47" s="9" t="inlineStr">
        <is>
          <t>How does Keyword arguments improve code readability?</t>
        </is>
      </c>
      <c r="O47" s="9" t="inlineStr">
        <is>
          <t>15 min</t>
        </is>
      </c>
      <c r="P47" s="9" t="inlineStr">
        <is>
          <t>Describe a scenario where you used Keyword arguments.</t>
        </is>
      </c>
      <c r="Q47" s="9" t="inlineStr">
        <is>
          <t>Build/Refine code</t>
        </is>
      </c>
      <c r="R47" s="9" t="n">
        <v>5</v>
      </c>
      <c r="S47" s="10" t="inlineStr">
        <is>
          <t>☐ Not Started</t>
        </is>
      </c>
      <c r="T47" s="10">
        <f>IF(S47="☑ Completed", "COMPLETED", "NOT STARTED")</f>
        <v/>
      </c>
      <c r="U47" s="9" t="inlineStr">
        <is>
          <t>Review Notes for Day 10</t>
        </is>
      </c>
    </row>
    <row r="48">
      <c r="A48" s="10" t="n">
        <v>10</v>
      </c>
      <c r="B48" s="10" t="inlineStr">
        <is>
          <t>2026-09-09</t>
        </is>
      </c>
      <c r="C48" s="10" t="n">
        <v>2</v>
      </c>
      <c r="D48" s="10" t="n">
        <v>1</v>
      </c>
      <c r="E48" s="9" t="inlineStr">
        <is>
          <t>Month 1</t>
        </is>
      </c>
      <c r="F48" s="9" t="inlineStr">
        <is>
          <t>Python</t>
        </is>
      </c>
      <c r="G48" s="9" t="inlineStr">
        <is>
          <t>Functions</t>
        </is>
      </c>
      <c r="H48" s="9" t="inlineStr">
        <is>
          <t>*args</t>
        </is>
      </c>
      <c r="I48" s="9" t="inlineStr">
        <is>
          <t>Master *args</t>
        </is>
      </c>
      <c r="J48" s="9" t="inlineStr">
        <is>
          <t>30 min</t>
        </is>
      </c>
      <c r="K48" s="9" t="inlineStr">
        <is>
          <t>30 min</t>
        </is>
      </c>
      <c r="L48" s="9" t="inlineStr">
        <is>
          <t>Code/Implement *args</t>
        </is>
      </c>
      <c r="M48" s="9" t="inlineStr">
        <is>
          <t>15 min</t>
        </is>
      </c>
      <c r="N48" s="9" t="inlineStr">
        <is>
          <t>How does *args improve code readability?</t>
        </is>
      </c>
      <c r="O48" s="9" t="inlineStr">
        <is>
          <t>15 min</t>
        </is>
      </c>
      <c r="P48" s="9" t="inlineStr">
        <is>
          <t>Describe a scenario where you used *args.</t>
        </is>
      </c>
      <c r="Q48" s="9" t="inlineStr">
        <is>
          <t>Build/Refine code</t>
        </is>
      </c>
      <c r="R48" s="9" t="inlineStr">
        <is>
          <t>-</t>
        </is>
      </c>
      <c r="S48" s="10" t="inlineStr">
        <is>
          <t>☐ Not Started</t>
        </is>
      </c>
      <c r="T48" s="10">
        <f>IF(S48="☑ Completed", "COMPLETED", "NOT STARTED")</f>
        <v/>
      </c>
      <c r="U48" s="9" t="inlineStr">
        <is>
          <t>Review Notes for Day 10</t>
        </is>
      </c>
    </row>
    <row r="49">
      <c r="A49" s="10" t="n">
        <v>10</v>
      </c>
      <c r="B49" s="10" t="inlineStr">
        <is>
          <t>2026-09-09</t>
        </is>
      </c>
      <c r="C49" s="10" t="n">
        <v>2</v>
      </c>
      <c r="D49" s="10" t="n">
        <v>1</v>
      </c>
      <c r="E49" s="9" t="inlineStr">
        <is>
          <t>Month 1</t>
        </is>
      </c>
      <c r="F49" s="9" t="inlineStr">
        <is>
          <t>Python</t>
        </is>
      </c>
      <c r="G49" s="9" t="inlineStr">
        <is>
          <t>Functions</t>
        </is>
      </c>
      <c r="H49" s="9" t="inlineStr">
        <is>
          <t>**kwargs</t>
        </is>
      </c>
      <c r="I49" s="9" t="inlineStr">
        <is>
          <t>Master **kwargs</t>
        </is>
      </c>
      <c r="J49" s="9" t="inlineStr">
        <is>
          <t>30 min</t>
        </is>
      </c>
      <c r="K49" s="9" t="inlineStr">
        <is>
          <t>30 min</t>
        </is>
      </c>
      <c r="L49" s="9" t="inlineStr">
        <is>
          <t>Code/Implement **kwargs</t>
        </is>
      </c>
      <c r="M49" s="9" t="inlineStr">
        <is>
          <t>15 min</t>
        </is>
      </c>
      <c r="N49" s="9" t="inlineStr">
        <is>
          <t>How does **kwargs improve code readability?</t>
        </is>
      </c>
      <c r="O49" s="9" t="inlineStr">
        <is>
          <t>15 min</t>
        </is>
      </c>
      <c r="P49" s="9" t="inlineStr">
        <is>
          <t>Describe a scenario where you used **kwargs.</t>
        </is>
      </c>
      <c r="Q49" s="9" t="inlineStr">
        <is>
          <t>Build/Refine code</t>
        </is>
      </c>
      <c r="R49" s="9" t="inlineStr">
        <is>
          <t>-</t>
        </is>
      </c>
      <c r="S49" s="10" t="inlineStr">
        <is>
          <t>☐ Not Started</t>
        </is>
      </c>
      <c r="T49" s="10">
        <f>IF(S49="☑ Completed", "COMPLETED", "NOT STARTED")</f>
        <v/>
      </c>
      <c r="U49" s="9" t="inlineStr">
        <is>
          <t>Review Notes for Day 10</t>
        </is>
      </c>
    </row>
    <row r="50">
      <c r="A50" s="10" t="n">
        <v>10</v>
      </c>
      <c r="B50" s="10" t="inlineStr">
        <is>
          <t>2026-09-09</t>
        </is>
      </c>
      <c r="C50" s="10" t="n">
        <v>2</v>
      </c>
      <c r="D50" s="10" t="n">
        <v>1</v>
      </c>
      <c r="E50" s="9" t="inlineStr">
        <is>
          <t>Month 1</t>
        </is>
      </c>
      <c r="F50" s="9" t="inlineStr">
        <is>
          <t>Python</t>
        </is>
      </c>
      <c r="G50" s="9" t="inlineStr">
        <is>
          <t>Functions</t>
        </is>
      </c>
      <c r="H50" s="9" t="inlineStr">
        <is>
          <t>Return statement</t>
        </is>
      </c>
      <c r="I50" s="9" t="inlineStr">
        <is>
          <t>Master Return statement</t>
        </is>
      </c>
      <c r="J50" s="9" t="inlineStr">
        <is>
          <t>30 min</t>
        </is>
      </c>
      <c r="K50" s="9" t="inlineStr">
        <is>
          <t>30 min</t>
        </is>
      </c>
      <c r="L50" s="9" t="inlineStr">
        <is>
          <t>Code/Implement Return statement</t>
        </is>
      </c>
      <c r="M50" s="9" t="inlineStr">
        <is>
          <t>15 min</t>
        </is>
      </c>
      <c r="N50" s="9" t="inlineStr">
        <is>
          <t>How does Return statement improve code readability?</t>
        </is>
      </c>
      <c r="O50" s="9" t="inlineStr">
        <is>
          <t>15 min</t>
        </is>
      </c>
      <c r="P50" s="9" t="inlineStr">
        <is>
          <t>Describe a scenario where you used Return statement.</t>
        </is>
      </c>
      <c r="Q50" s="9" t="inlineStr">
        <is>
          <t>Build/Refine code</t>
        </is>
      </c>
      <c r="R50" s="9" t="inlineStr">
        <is>
          <t>-</t>
        </is>
      </c>
      <c r="S50" s="10" t="inlineStr">
        <is>
          <t>☐ Not Started</t>
        </is>
      </c>
      <c r="T50" s="10">
        <f>IF(S50="☑ Completed", "COMPLETED", "NOT STARTED")</f>
        <v/>
      </c>
      <c r="U50" s="9" t="inlineStr">
        <is>
          <t>Review Notes for Day 10</t>
        </is>
      </c>
    </row>
    <row r="51">
      <c r="A51" s="10" t="n">
        <v>10</v>
      </c>
      <c r="B51" s="10" t="inlineStr">
        <is>
          <t>2026-09-09</t>
        </is>
      </c>
      <c r="C51" s="10" t="n">
        <v>2</v>
      </c>
      <c r="D51" s="10" t="n">
        <v>1</v>
      </c>
      <c r="E51" s="9" t="inlineStr">
        <is>
          <t>Month 1</t>
        </is>
      </c>
      <c r="F51" s="9" t="inlineStr">
        <is>
          <t>Python</t>
        </is>
      </c>
      <c r="G51" s="9" t="inlineStr">
        <is>
          <t>Functions</t>
        </is>
      </c>
      <c r="H51" s="9" t="inlineStr">
        <is>
          <t>Lambda</t>
        </is>
      </c>
      <c r="I51" s="9" t="inlineStr">
        <is>
          <t>Master Lambda</t>
        </is>
      </c>
      <c r="J51" s="9" t="inlineStr">
        <is>
          <t>30 min</t>
        </is>
      </c>
      <c r="K51" s="9" t="inlineStr">
        <is>
          <t>30 min</t>
        </is>
      </c>
      <c r="L51" s="9" t="inlineStr">
        <is>
          <t>Code/Implement Lambda</t>
        </is>
      </c>
      <c r="M51" s="9" t="inlineStr">
        <is>
          <t>15 min</t>
        </is>
      </c>
      <c r="N51" s="9" t="inlineStr">
        <is>
          <t>How does Lambda improve code readability?</t>
        </is>
      </c>
      <c r="O51" s="9" t="inlineStr">
        <is>
          <t>15 min</t>
        </is>
      </c>
      <c r="P51" s="9" t="inlineStr">
        <is>
          <t>Describe a scenario where you used Lambda.</t>
        </is>
      </c>
      <c r="Q51" s="9" t="inlineStr">
        <is>
          <t>Build/Refine code</t>
        </is>
      </c>
      <c r="R51" s="9" t="inlineStr">
        <is>
          <t>-</t>
        </is>
      </c>
      <c r="S51" s="10" t="inlineStr">
        <is>
          <t>☐ Not Started</t>
        </is>
      </c>
      <c r="T51" s="10">
        <f>IF(S51="☑ Completed", "COMPLETED", "NOT STARTED")</f>
        <v/>
      </c>
      <c r="U51" s="9" t="inlineStr">
        <is>
          <t>Review Notes for Day 10</t>
        </is>
      </c>
    </row>
    <row r="52">
      <c r="A52" s="10" t="n">
        <v>11</v>
      </c>
      <c r="B52" s="10" t="inlineStr">
        <is>
          <t>2026-09-10</t>
        </is>
      </c>
      <c r="C52" s="10" t="n">
        <v>2</v>
      </c>
      <c r="D52" s="10" t="n">
        <v>1</v>
      </c>
      <c r="E52" s="9" t="inlineStr">
        <is>
          <t>Month 1</t>
        </is>
      </c>
      <c r="F52" s="9" t="inlineStr">
        <is>
          <t>Python</t>
        </is>
      </c>
      <c r="G52" s="9" t="inlineStr">
        <is>
          <t>Functions</t>
        </is>
      </c>
      <c r="H52" s="9" t="inlineStr">
        <is>
          <t>Map</t>
        </is>
      </c>
      <c r="I52" s="9" t="inlineStr">
        <is>
          <t>Master Map</t>
        </is>
      </c>
      <c r="J52" s="9" t="inlineStr">
        <is>
          <t>45 min</t>
        </is>
      </c>
      <c r="K52" s="9" t="inlineStr">
        <is>
          <t>45 min</t>
        </is>
      </c>
      <c r="L52" s="9" t="inlineStr">
        <is>
          <t>Code/Implement Map</t>
        </is>
      </c>
      <c r="M52" s="9" t="inlineStr">
        <is>
          <t>15 min</t>
        </is>
      </c>
      <c r="N52" s="9" t="inlineStr">
        <is>
          <t>How does Map improve code readability?</t>
        </is>
      </c>
      <c r="O52" s="9" t="inlineStr">
        <is>
          <t>15 min</t>
        </is>
      </c>
      <c r="P52" s="9" t="inlineStr">
        <is>
          <t>Describe a scenario where you used Map.</t>
        </is>
      </c>
      <c r="Q52" s="9" t="inlineStr">
        <is>
          <t>Build/Refine code</t>
        </is>
      </c>
      <c r="R52" s="9" t="n">
        <v>5</v>
      </c>
      <c r="S52" s="10" t="inlineStr">
        <is>
          <t>☐ Not Started</t>
        </is>
      </c>
      <c r="T52" s="10">
        <f>IF(S52="☑ Completed", "COMPLETED", "NOT STARTED")</f>
        <v/>
      </c>
      <c r="U52" s="9" t="inlineStr">
        <is>
          <t>Review Notes for Day 11</t>
        </is>
      </c>
    </row>
    <row r="53">
      <c r="A53" s="10" t="n">
        <v>11</v>
      </c>
      <c r="B53" s="10" t="inlineStr">
        <is>
          <t>2026-09-10</t>
        </is>
      </c>
      <c r="C53" s="10" t="n">
        <v>2</v>
      </c>
      <c r="D53" s="10" t="n">
        <v>1</v>
      </c>
      <c r="E53" s="9" t="inlineStr">
        <is>
          <t>Month 1</t>
        </is>
      </c>
      <c r="F53" s="9" t="inlineStr">
        <is>
          <t>Python</t>
        </is>
      </c>
      <c r="G53" s="9" t="inlineStr">
        <is>
          <t>Functions</t>
        </is>
      </c>
      <c r="H53" s="9" t="inlineStr">
        <is>
          <t>Filter</t>
        </is>
      </c>
      <c r="I53" s="9" t="inlineStr">
        <is>
          <t>Master Filter</t>
        </is>
      </c>
      <c r="J53" s="9" t="inlineStr">
        <is>
          <t>30 min</t>
        </is>
      </c>
      <c r="K53" s="9" t="inlineStr">
        <is>
          <t>30 min</t>
        </is>
      </c>
      <c r="L53" s="9" t="inlineStr">
        <is>
          <t>Code/Implement Filter</t>
        </is>
      </c>
      <c r="M53" s="9" t="inlineStr">
        <is>
          <t>15 min</t>
        </is>
      </c>
      <c r="N53" s="9" t="inlineStr">
        <is>
          <t>How does Filter improve code readability?</t>
        </is>
      </c>
      <c r="O53" s="9" t="inlineStr">
        <is>
          <t>15 min</t>
        </is>
      </c>
      <c r="P53" s="9" t="inlineStr">
        <is>
          <t>Describe a scenario where you used Filter.</t>
        </is>
      </c>
      <c r="Q53" s="9" t="inlineStr">
        <is>
          <t>Build/Refine code</t>
        </is>
      </c>
      <c r="R53" s="9" t="inlineStr">
        <is>
          <t>-</t>
        </is>
      </c>
      <c r="S53" s="10" t="inlineStr">
        <is>
          <t>☐ Not Started</t>
        </is>
      </c>
      <c r="T53" s="10">
        <f>IF(S53="☑ Completed", "COMPLETED", "NOT STARTED")</f>
        <v/>
      </c>
      <c r="U53" s="9" t="inlineStr">
        <is>
          <t>Review Notes for Day 11</t>
        </is>
      </c>
    </row>
    <row r="54">
      <c r="A54" s="10" t="n">
        <v>11</v>
      </c>
      <c r="B54" s="10" t="inlineStr">
        <is>
          <t>2026-09-10</t>
        </is>
      </c>
      <c r="C54" s="10" t="n">
        <v>2</v>
      </c>
      <c r="D54" s="10" t="n">
        <v>1</v>
      </c>
      <c r="E54" s="9" t="inlineStr">
        <is>
          <t>Month 1</t>
        </is>
      </c>
      <c r="F54" s="9" t="inlineStr">
        <is>
          <t>Python</t>
        </is>
      </c>
      <c r="G54" s="9" t="inlineStr">
        <is>
          <t>Functions</t>
        </is>
      </c>
      <c r="H54" s="9" t="inlineStr">
        <is>
          <t>Reduce</t>
        </is>
      </c>
      <c r="I54" s="9" t="inlineStr">
        <is>
          <t>Master Reduce</t>
        </is>
      </c>
      <c r="J54" s="9" t="inlineStr">
        <is>
          <t>30 min</t>
        </is>
      </c>
      <c r="K54" s="9" t="inlineStr">
        <is>
          <t>30 min</t>
        </is>
      </c>
      <c r="L54" s="9" t="inlineStr">
        <is>
          <t>Code/Implement Reduce</t>
        </is>
      </c>
      <c r="M54" s="9" t="inlineStr">
        <is>
          <t>15 min</t>
        </is>
      </c>
      <c r="N54" s="9" t="inlineStr">
        <is>
          <t>How does Reduce improve code readability?</t>
        </is>
      </c>
      <c r="O54" s="9" t="inlineStr">
        <is>
          <t>15 min</t>
        </is>
      </c>
      <c r="P54" s="9" t="inlineStr">
        <is>
          <t>Describe a scenario where you used Reduce.</t>
        </is>
      </c>
      <c r="Q54" s="9" t="inlineStr">
        <is>
          <t>Build/Refine code</t>
        </is>
      </c>
      <c r="R54" s="9" t="inlineStr">
        <is>
          <t>-</t>
        </is>
      </c>
      <c r="S54" s="10" t="inlineStr">
        <is>
          <t>☐ Not Started</t>
        </is>
      </c>
      <c r="T54" s="10">
        <f>IF(S54="☑ Completed", "COMPLETED", "NOT STARTED")</f>
        <v/>
      </c>
      <c r="U54" s="9" t="inlineStr">
        <is>
          <t>Review Notes for Day 11</t>
        </is>
      </c>
    </row>
    <row r="55">
      <c r="A55" s="10" t="n">
        <v>11</v>
      </c>
      <c r="B55" s="10" t="inlineStr">
        <is>
          <t>2026-09-10</t>
        </is>
      </c>
      <c r="C55" s="10" t="n">
        <v>2</v>
      </c>
      <c r="D55" s="10" t="n">
        <v>1</v>
      </c>
      <c r="E55" s="9" t="inlineStr">
        <is>
          <t>Month 1</t>
        </is>
      </c>
      <c r="F55" s="9" t="inlineStr">
        <is>
          <t>Python</t>
        </is>
      </c>
      <c r="G55" s="9" t="inlineStr">
        <is>
          <t>Advanced</t>
        </is>
      </c>
      <c r="H55" s="9" t="inlineStr">
        <is>
          <t>List comprehension</t>
        </is>
      </c>
      <c r="I55" s="9" t="inlineStr">
        <is>
          <t>Master List comprehension</t>
        </is>
      </c>
      <c r="J55" s="9" t="inlineStr">
        <is>
          <t>30 min</t>
        </is>
      </c>
      <c r="K55" s="9" t="inlineStr">
        <is>
          <t>30 min</t>
        </is>
      </c>
      <c r="L55" s="9" t="inlineStr">
        <is>
          <t>Code/Implement List comprehension</t>
        </is>
      </c>
      <c r="M55" s="9" t="inlineStr">
        <is>
          <t>15 min</t>
        </is>
      </c>
      <c r="N55" s="9" t="inlineStr">
        <is>
          <t>What is the benefit of List comprehension?</t>
        </is>
      </c>
      <c r="O55" s="9" t="inlineStr">
        <is>
          <t>15 min</t>
        </is>
      </c>
      <c r="P55" s="9" t="inlineStr">
        <is>
          <t>Explain the concept of List comprehension to a junior developer.</t>
        </is>
      </c>
      <c r="Q55" s="9" t="inlineStr">
        <is>
          <t>Build/Refine code</t>
        </is>
      </c>
      <c r="R55" s="9" t="inlineStr">
        <is>
          <t>-</t>
        </is>
      </c>
      <c r="S55" s="10" t="inlineStr">
        <is>
          <t>☐ Not Started</t>
        </is>
      </c>
      <c r="T55" s="10">
        <f>IF(S55="☑ Completed", "COMPLETED", "NOT STARTED")</f>
        <v/>
      </c>
      <c r="U55" s="9" t="inlineStr">
        <is>
          <t>Review Notes for Day 11</t>
        </is>
      </c>
    </row>
    <row r="56">
      <c r="A56" s="10" t="n">
        <v>11</v>
      </c>
      <c r="B56" s="10" t="inlineStr">
        <is>
          <t>2026-09-10</t>
        </is>
      </c>
      <c r="C56" s="10" t="n">
        <v>2</v>
      </c>
      <c r="D56" s="10" t="n">
        <v>1</v>
      </c>
      <c r="E56" s="9" t="inlineStr">
        <is>
          <t>Month 1</t>
        </is>
      </c>
      <c r="F56" s="9" t="inlineStr">
        <is>
          <t>Python</t>
        </is>
      </c>
      <c r="G56" s="9" t="inlineStr">
        <is>
          <t>Advanced</t>
        </is>
      </c>
      <c r="H56" s="9" t="inlineStr">
        <is>
          <t>Dictionary comprehension</t>
        </is>
      </c>
      <c r="I56" s="9" t="inlineStr">
        <is>
          <t>Master Dictionary comprehension</t>
        </is>
      </c>
      <c r="J56" s="9" t="inlineStr">
        <is>
          <t>30 min</t>
        </is>
      </c>
      <c r="K56" s="9" t="inlineStr">
        <is>
          <t>30 min</t>
        </is>
      </c>
      <c r="L56" s="9" t="inlineStr">
        <is>
          <t>Code/Implement Dictionary comprehension</t>
        </is>
      </c>
      <c r="M56" s="9" t="inlineStr">
        <is>
          <t>15 min</t>
        </is>
      </c>
      <c r="N56" s="9" t="inlineStr">
        <is>
          <t>What is the benefit of Dictionary comprehension?</t>
        </is>
      </c>
      <c r="O56" s="9" t="inlineStr">
        <is>
          <t>15 min</t>
        </is>
      </c>
      <c r="P56" s="9" t="inlineStr">
        <is>
          <t>Explain the concept of Dictionary comprehension to a junior developer.</t>
        </is>
      </c>
      <c r="Q56" s="9" t="inlineStr">
        <is>
          <t>Build/Refine code</t>
        </is>
      </c>
      <c r="R56" s="9" t="inlineStr">
        <is>
          <t>-</t>
        </is>
      </c>
      <c r="S56" s="10" t="inlineStr">
        <is>
          <t>☐ Not Started</t>
        </is>
      </c>
      <c r="T56" s="10">
        <f>IF(S56="☑ Completed", "COMPLETED", "NOT STARTED")</f>
        <v/>
      </c>
      <c r="U56" s="9" t="inlineStr">
        <is>
          <t>Review Notes for Day 11</t>
        </is>
      </c>
    </row>
    <row r="57">
      <c r="A57" s="10" t="n">
        <v>12</v>
      </c>
      <c r="B57" s="10" t="inlineStr">
        <is>
          <t>2026-09-11</t>
        </is>
      </c>
      <c r="C57" s="10" t="n">
        <v>2</v>
      </c>
      <c r="D57" s="10" t="n">
        <v>1</v>
      </c>
      <c r="E57" s="9" t="inlineStr">
        <is>
          <t>Month 1</t>
        </is>
      </c>
      <c r="F57" s="9" t="inlineStr">
        <is>
          <t>Python</t>
        </is>
      </c>
      <c r="G57" s="9" t="inlineStr">
        <is>
          <t>Advanced</t>
        </is>
      </c>
      <c r="H57" s="9" t="inlineStr">
        <is>
          <t>try</t>
        </is>
      </c>
      <c r="I57" s="9" t="inlineStr">
        <is>
          <t>Master try</t>
        </is>
      </c>
      <c r="J57" s="9" t="inlineStr">
        <is>
          <t>45 min</t>
        </is>
      </c>
      <c r="K57" s="9" t="inlineStr">
        <is>
          <t>45 min</t>
        </is>
      </c>
      <c r="L57" s="9" t="inlineStr">
        <is>
          <t>Code/Implement try</t>
        </is>
      </c>
      <c r="M57" s="9" t="inlineStr">
        <is>
          <t>15 min</t>
        </is>
      </c>
      <c r="N57" s="9" t="inlineStr">
        <is>
          <t>What is the benefit of try?</t>
        </is>
      </c>
      <c r="O57" s="9" t="inlineStr">
        <is>
          <t>15 min</t>
        </is>
      </c>
      <c r="P57" s="9" t="inlineStr">
        <is>
          <t>Explain the concept of try to a junior developer.</t>
        </is>
      </c>
      <c r="Q57" s="9" t="inlineStr">
        <is>
          <t>Build/Refine code</t>
        </is>
      </c>
      <c r="R57" s="9" t="n">
        <v>5</v>
      </c>
      <c r="S57" s="10" t="inlineStr">
        <is>
          <t>☐ Not Started</t>
        </is>
      </c>
      <c r="T57" s="10">
        <f>IF(S57="☑ Completed", "COMPLETED", "NOT STARTED")</f>
        <v/>
      </c>
      <c r="U57" s="9" t="inlineStr">
        <is>
          <t>Review Notes for Day 12</t>
        </is>
      </c>
    </row>
    <row r="58">
      <c r="A58" s="10" t="n">
        <v>12</v>
      </c>
      <c r="B58" s="10" t="inlineStr">
        <is>
          <t>2026-09-11</t>
        </is>
      </c>
      <c r="C58" s="10" t="n">
        <v>2</v>
      </c>
      <c r="D58" s="10" t="n">
        <v>1</v>
      </c>
      <c r="E58" s="9" t="inlineStr">
        <is>
          <t>Month 1</t>
        </is>
      </c>
      <c r="F58" s="9" t="inlineStr">
        <is>
          <t>Python</t>
        </is>
      </c>
      <c r="G58" s="9" t="inlineStr">
        <is>
          <t>Advanced</t>
        </is>
      </c>
      <c r="H58" s="9" t="inlineStr">
        <is>
          <t>except</t>
        </is>
      </c>
      <c r="I58" s="9" t="inlineStr">
        <is>
          <t>Master except</t>
        </is>
      </c>
      <c r="J58" s="9" t="inlineStr">
        <is>
          <t>30 min</t>
        </is>
      </c>
      <c r="K58" s="9" t="inlineStr">
        <is>
          <t>30 min</t>
        </is>
      </c>
      <c r="L58" s="9" t="inlineStr">
        <is>
          <t>Code/Implement except</t>
        </is>
      </c>
      <c r="M58" s="9" t="inlineStr">
        <is>
          <t>15 min</t>
        </is>
      </c>
      <c r="N58" s="9" t="inlineStr">
        <is>
          <t>What is the benefit of except?</t>
        </is>
      </c>
      <c r="O58" s="9" t="inlineStr">
        <is>
          <t>15 min</t>
        </is>
      </c>
      <c r="P58" s="9" t="inlineStr">
        <is>
          <t>Explain the concept of except to a junior developer.</t>
        </is>
      </c>
      <c r="Q58" s="9" t="inlineStr">
        <is>
          <t>Build/Refine code</t>
        </is>
      </c>
      <c r="R58" s="9" t="inlineStr">
        <is>
          <t>-</t>
        </is>
      </c>
      <c r="S58" s="10" t="inlineStr">
        <is>
          <t>☐ Not Started</t>
        </is>
      </c>
      <c r="T58" s="10">
        <f>IF(S58="☑ Completed", "COMPLETED", "NOT STARTED")</f>
        <v/>
      </c>
      <c r="U58" s="9" t="inlineStr">
        <is>
          <t>Review Notes for Day 12</t>
        </is>
      </c>
    </row>
    <row r="59">
      <c r="A59" s="10" t="n">
        <v>12</v>
      </c>
      <c r="B59" s="10" t="inlineStr">
        <is>
          <t>2026-09-11</t>
        </is>
      </c>
      <c r="C59" s="10" t="n">
        <v>2</v>
      </c>
      <c r="D59" s="10" t="n">
        <v>1</v>
      </c>
      <c r="E59" s="9" t="inlineStr">
        <is>
          <t>Month 1</t>
        </is>
      </c>
      <c r="F59" s="9" t="inlineStr">
        <is>
          <t>Python</t>
        </is>
      </c>
      <c r="G59" s="9" t="inlineStr">
        <is>
          <t>Advanced</t>
        </is>
      </c>
      <c r="H59" s="9" t="inlineStr">
        <is>
          <t>else</t>
        </is>
      </c>
      <c r="I59" s="9" t="inlineStr">
        <is>
          <t>Master else</t>
        </is>
      </c>
      <c r="J59" s="9" t="inlineStr">
        <is>
          <t>30 min</t>
        </is>
      </c>
      <c r="K59" s="9" t="inlineStr">
        <is>
          <t>30 min</t>
        </is>
      </c>
      <c r="L59" s="9" t="inlineStr">
        <is>
          <t>Code/Implement else</t>
        </is>
      </c>
      <c r="M59" s="9" t="inlineStr">
        <is>
          <t>15 min</t>
        </is>
      </c>
      <c r="N59" s="9" t="inlineStr">
        <is>
          <t>What is the benefit of else?</t>
        </is>
      </c>
      <c r="O59" s="9" t="inlineStr">
        <is>
          <t>15 min</t>
        </is>
      </c>
      <c r="P59" s="9" t="inlineStr">
        <is>
          <t>Explain the concept of else to a junior developer.</t>
        </is>
      </c>
      <c r="Q59" s="9" t="inlineStr">
        <is>
          <t>Build/Refine code</t>
        </is>
      </c>
      <c r="R59" s="9" t="inlineStr">
        <is>
          <t>-</t>
        </is>
      </c>
      <c r="S59" s="10" t="inlineStr">
        <is>
          <t>☐ Not Started</t>
        </is>
      </c>
      <c r="T59" s="10">
        <f>IF(S59="☑ Completed", "COMPLETED", "NOT STARTED")</f>
        <v/>
      </c>
      <c r="U59" s="9" t="inlineStr">
        <is>
          <t>Review Notes for Day 12</t>
        </is>
      </c>
    </row>
    <row r="60">
      <c r="A60" s="10" t="n">
        <v>12</v>
      </c>
      <c r="B60" s="10" t="inlineStr">
        <is>
          <t>2026-09-11</t>
        </is>
      </c>
      <c r="C60" s="10" t="n">
        <v>2</v>
      </c>
      <c r="D60" s="10" t="n">
        <v>1</v>
      </c>
      <c r="E60" s="9" t="inlineStr">
        <is>
          <t>Month 1</t>
        </is>
      </c>
      <c r="F60" s="9" t="inlineStr">
        <is>
          <t>Python</t>
        </is>
      </c>
      <c r="G60" s="9" t="inlineStr">
        <is>
          <t>Advanced</t>
        </is>
      </c>
      <c r="H60" s="9" t="inlineStr">
        <is>
          <t>finally</t>
        </is>
      </c>
      <c r="I60" s="9" t="inlineStr">
        <is>
          <t>Master finally</t>
        </is>
      </c>
      <c r="J60" s="9" t="inlineStr">
        <is>
          <t>30 min</t>
        </is>
      </c>
      <c r="K60" s="9" t="inlineStr">
        <is>
          <t>30 min</t>
        </is>
      </c>
      <c r="L60" s="9" t="inlineStr">
        <is>
          <t>Code/Implement finally</t>
        </is>
      </c>
      <c r="M60" s="9" t="inlineStr">
        <is>
          <t>15 min</t>
        </is>
      </c>
      <c r="N60" s="9" t="inlineStr">
        <is>
          <t>What is the benefit of finally?</t>
        </is>
      </c>
      <c r="O60" s="9" t="inlineStr">
        <is>
          <t>15 min</t>
        </is>
      </c>
      <c r="P60" s="9" t="inlineStr">
        <is>
          <t>Explain the concept of finally to a junior developer.</t>
        </is>
      </c>
      <c r="Q60" s="9" t="inlineStr">
        <is>
          <t>Build/Refine code</t>
        </is>
      </c>
      <c r="R60" s="9" t="inlineStr">
        <is>
          <t>-</t>
        </is>
      </c>
      <c r="S60" s="10" t="inlineStr">
        <is>
          <t>☐ Not Started</t>
        </is>
      </c>
      <c r="T60" s="10">
        <f>IF(S60="☑ Completed", "COMPLETED", "NOT STARTED")</f>
        <v/>
      </c>
      <c r="U60" s="9" t="inlineStr">
        <is>
          <t>Review Notes for Day 12</t>
        </is>
      </c>
    </row>
    <row r="61">
      <c r="A61" s="10" t="n">
        <v>12</v>
      </c>
      <c r="B61" s="10" t="inlineStr">
        <is>
          <t>2026-09-11</t>
        </is>
      </c>
      <c r="C61" s="10" t="n">
        <v>2</v>
      </c>
      <c r="D61" s="10" t="n">
        <v>1</v>
      </c>
      <c r="E61" s="9" t="inlineStr">
        <is>
          <t>Month 1</t>
        </is>
      </c>
      <c r="F61" s="9" t="inlineStr">
        <is>
          <t>Python</t>
        </is>
      </c>
      <c r="G61" s="9" t="inlineStr">
        <is>
          <t>Advanced</t>
        </is>
      </c>
      <c r="H61" s="9" t="inlineStr">
        <is>
          <t>raise</t>
        </is>
      </c>
      <c r="I61" s="9" t="inlineStr">
        <is>
          <t>Master raise</t>
        </is>
      </c>
      <c r="J61" s="9" t="inlineStr">
        <is>
          <t>30 min</t>
        </is>
      </c>
      <c r="K61" s="9" t="inlineStr">
        <is>
          <t>30 min</t>
        </is>
      </c>
      <c r="L61" s="9" t="inlineStr">
        <is>
          <t>Code/Implement raise</t>
        </is>
      </c>
      <c r="M61" s="9" t="inlineStr">
        <is>
          <t>15 min</t>
        </is>
      </c>
      <c r="N61" s="9" t="inlineStr">
        <is>
          <t>What is the benefit of raise?</t>
        </is>
      </c>
      <c r="O61" s="9" t="inlineStr">
        <is>
          <t>15 min</t>
        </is>
      </c>
      <c r="P61" s="9" t="inlineStr">
        <is>
          <t>Explain the concept of raise to a junior developer.</t>
        </is>
      </c>
      <c r="Q61" s="9" t="inlineStr">
        <is>
          <t>Build/Refine code</t>
        </is>
      </c>
      <c r="R61" s="9" t="inlineStr">
        <is>
          <t>-</t>
        </is>
      </c>
      <c r="S61" s="10" t="inlineStr">
        <is>
          <t>☐ Not Started</t>
        </is>
      </c>
      <c r="T61" s="10">
        <f>IF(S61="☑ Completed", "COMPLETED", "NOT STARTED")</f>
        <v/>
      </c>
      <c r="U61" s="9" t="inlineStr">
        <is>
          <t>Review Notes for Day 12</t>
        </is>
      </c>
    </row>
    <row r="62">
      <c r="A62" s="10" t="n">
        <v>13</v>
      </c>
      <c r="B62" s="10" t="inlineStr">
        <is>
          <t>2026-09-12</t>
        </is>
      </c>
      <c r="C62" s="10" t="n">
        <v>2</v>
      </c>
      <c r="D62" s="10" t="n">
        <v>1</v>
      </c>
      <c r="E62" s="9" t="inlineStr">
        <is>
          <t>Month 1</t>
        </is>
      </c>
      <c r="F62" s="9" t="inlineStr">
        <is>
          <t>Python</t>
        </is>
      </c>
      <c r="G62" s="9" t="inlineStr">
        <is>
          <t>Advanced</t>
        </is>
      </c>
      <c r="H62" s="9" t="inlineStr">
        <is>
          <t>CSV files</t>
        </is>
      </c>
      <c r="I62" s="9" t="inlineStr">
        <is>
          <t>Master CSV files</t>
        </is>
      </c>
      <c r="J62" s="9" t="inlineStr">
        <is>
          <t>45 min</t>
        </is>
      </c>
      <c r="K62" s="9" t="inlineStr">
        <is>
          <t>45 min</t>
        </is>
      </c>
      <c r="L62" s="9" t="inlineStr">
        <is>
          <t>Code/Implement CSV files</t>
        </is>
      </c>
      <c r="M62" s="9" t="inlineStr">
        <is>
          <t>15 min</t>
        </is>
      </c>
      <c r="N62" s="9" t="inlineStr">
        <is>
          <t>What is the benefit of CSV files?</t>
        </is>
      </c>
      <c r="O62" s="9" t="inlineStr">
        <is>
          <t>15 min</t>
        </is>
      </c>
      <c r="P62" s="9" t="inlineStr">
        <is>
          <t>Explain the concept of CSV files to a junior developer.</t>
        </is>
      </c>
      <c r="Q62" s="9" t="inlineStr">
        <is>
          <t>Build/Refine code</t>
        </is>
      </c>
      <c r="R62" s="9" t="n">
        <v>5</v>
      </c>
      <c r="S62" s="10" t="inlineStr">
        <is>
          <t>☐ Not Started</t>
        </is>
      </c>
      <c r="T62" s="10">
        <f>IF(S62="☑ Completed", "COMPLETED", "NOT STARTED")</f>
        <v/>
      </c>
      <c r="U62" s="9" t="inlineStr">
        <is>
          <t>Review Notes for Day 13</t>
        </is>
      </c>
    </row>
    <row r="63">
      <c r="A63" s="10" t="n">
        <v>13</v>
      </c>
      <c r="B63" s="10" t="inlineStr">
        <is>
          <t>2026-09-12</t>
        </is>
      </c>
      <c r="C63" s="10" t="n">
        <v>2</v>
      </c>
      <c r="D63" s="10" t="n">
        <v>1</v>
      </c>
      <c r="E63" s="9" t="inlineStr">
        <is>
          <t>Month 1</t>
        </is>
      </c>
      <c r="F63" s="9" t="inlineStr">
        <is>
          <t>Python</t>
        </is>
      </c>
      <c r="G63" s="9" t="inlineStr">
        <is>
          <t>Advanced</t>
        </is>
      </c>
      <c r="H63" s="9" t="inlineStr">
        <is>
          <t>JSON files</t>
        </is>
      </c>
      <c r="I63" s="9" t="inlineStr">
        <is>
          <t>Master JSON files</t>
        </is>
      </c>
      <c r="J63" s="9" t="inlineStr">
        <is>
          <t>30 min</t>
        </is>
      </c>
      <c r="K63" s="9" t="inlineStr">
        <is>
          <t>30 min</t>
        </is>
      </c>
      <c r="L63" s="9" t="inlineStr">
        <is>
          <t>Code/Implement JSON files</t>
        </is>
      </c>
      <c r="M63" s="9" t="inlineStr">
        <is>
          <t>15 min</t>
        </is>
      </c>
      <c r="N63" s="9" t="inlineStr">
        <is>
          <t>What is the benefit of JSON files?</t>
        </is>
      </c>
      <c r="O63" s="9" t="inlineStr">
        <is>
          <t>15 min</t>
        </is>
      </c>
      <c r="P63" s="9" t="inlineStr">
        <is>
          <t>Explain the concept of JSON files to a junior developer.</t>
        </is>
      </c>
      <c r="Q63" s="9" t="inlineStr">
        <is>
          <t>Build/Refine code</t>
        </is>
      </c>
      <c r="R63" s="9" t="inlineStr">
        <is>
          <t>-</t>
        </is>
      </c>
      <c r="S63" s="10" t="inlineStr">
        <is>
          <t>☐ Not Started</t>
        </is>
      </c>
      <c r="T63" s="10">
        <f>IF(S63="☑ Completed", "COMPLETED", "NOT STARTED")</f>
        <v/>
      </c>
      <c r="U63" s="9" t="inlineStr">
        <is>
          <t>Review Notes for Day 13</t>
        </is>
      </c>
    </row>
    <row r="64">
      <c r="A64" s="10" t="n">
        <v>13</v>
      </c>
      <c r="B64" s="10" t="inlineStr">
        <is>
          <t>2026-09-12</t>
        </is>
      </c>
      <c r="C64" s="10" t="n">
        <v>2</v>
      </c>
      <c r="D64" s="10" t="n">
        <v>1</v>
      </c>
      <c r="E64" s="9" t="inlineStr">
        <is>
          <t>Month 1</t>
        </is>
      </c>
      <c r="F64" s="9" t="inlineStr">
        <is>
          <t>Python</t>
        </is>
      </c>
      <c r="G64" s="9" t="inlineStr">
        <is>
          <t>Advanced</t>
        </is>
      </c>
      <c r="H64" s="9" t="inlineStr">
        <is>
          <t>Modules</t>
        </is>
      </c>
      <c r="I64" s="9" t="inlineStr">
        <is>
          <t>Master Modules</t>
        </is>
      </c>
      <c r="J64" s="9" t="inlineStr">
        <is>
          <t>30 min</t>
        </is>
      </c>
      <c r="K64" s="9" t="inlineStr">
        <is>
          <t>30 min</t>
        </is>
      </c>
      <c r="L64" s="9" t="inlineStr">
        <is>
          <t>Code/Implement Modules</t>
        </is>
      </c>
      <c r="M64" s="9" t="inlineStr">
        <is>
          <t>15 min</t>
        </is>
      </c>
      <c r="N64" s="9" t="inlineStr">
        <is>
          <t>What is the benefit of Modules?</t>
        </is>
      </c>
      <c r="O64" s="9" t="inlineStr">
        <is>
          <t>15 min</t>
        </is>
      </c>
      <c r="P64" s="9" t="inlineStr">
        <is>
          <t>Explain the concept of Modules to a junior developer.</t>
        </is>
      </c>
      <c r="Q64" s="9" t="inlineStr">
        <is>
          <t>Build/Refine code</t>
        </is>
      </c>
      <c r="R64" s="9" t="inlineStr">
        <is>
          <t>-</t>
        </is>
      </c>
      <c r="S64" s="10" t="inlineStr">
        <is>
          <t>☐ Not Started</t>
        </is>
      </c>
      <c r="T64" s="10">
        <f>IF(S64="☑ Completed", "COMPLETED", "NOT STARTED")</f>
        <v/>
      </c>
      <c r="U64" s="9" t="inlineStr">
        <is>
          <t>Review Notes for Day 13</t>
        </is>
      </c>
    </row>
    <row r="65">
      <c r="A65" s="10" t="n">
        <v>13</v>
      </c>
      <c r="B65" s="10" t="inlineStr">
        <is>
          <t>2026-09-12</t>
        </is>
      </c>
      <c r="C65" s="10" t="n">
        <v>2</v>
      </c>
      <c r="D65" s="10" t="n">
        <v>1</v>
      </c>
      <c r="E65" s="9" t="inlineStr">
        <is>
          <t>Month 1</t>
        </is>
      </c>
      <c r="F65" s="9" t="inlineStr">
        <is>
          <t>Python</t>
        </is>
      </c>
      <c r="G65" s="9" t="inlineStr">
        <is>
          <t>Advanced</t>
        </is>
      </c>
      <c r="H65" s="9" t="inlineStr">
        <is>
          <t>Packages</t>
        </is>
      </c>
      <c r="I65" s="9" t="inlineStr">
        <is>
          <t>Master Packages</t>
        </is>
      </c>
      <c r="J65" s="9" t="inlineStr">
        <is>
          <t>30 min</t>
        </is>
      </c>
      <c r="K65" s="9" t="inlineStr">
        <is>
          <t>30 min</t>
        </is>
      </c>
      <c r="L65" s="9" t="inlineStr">
        <is>
          <t>Code/Implement Packages</t>
        </is>
      </c>
      <c r="M65" s="9" t="inlineStr">
        <is>
          <t>15 min</t>
        </is>
      </c>
      <c r="N65" s="9" t="inlineStr">
        <is>
          <t>What is the benefit of Packages?</t>
        </is>
      </c>
      <c r="O65" s="9" t="inlineStr">
        <is>
          <t>15 min</t>
        </is>
      </c>
      <c r="P65" s="9" t="inlineStr">
        <is>
          <t>Explain the concept of Packages to a junior developer.</t>
        </is>
      </c>
      <c r="Q65" s="9" t="inlineStr">
        <is>
          <t>Build/Refine code</t>
        </is>
      </c>
      <c r="R65" s="9" t="inlineStr">
        <is>
          <t>-</t>
        </is>
      </c>
      <c r="S65" s="10" t="inlineStr">
        <is>
          <t>☐ Not Started</t>
        </is>
      </c>
      <c r="T65" s="10">
        <f>IF(S65="☑ Completed", "COMPLETED", "NOT STARTED")</f>
        <v/>
      </c>
      <c r="U65" s="9" t="inlineStr">
        <is>
          <t>Review Notes for Day 13</t>
        </is>
      </c>
    </row>
    <row r="66">
      <c r="A66" s="10" t="n">
        <v>13</v>
      </c>
      <c r="B66" s="10" t="inlineStr">
        <is>
          <t>2026-09-12</t>
        </is>
      </c>
      <c r="C66" s="10" t="n">
        <v>2</v>
      </c>
      <c r="D66" s="10" t="n">
        <v>1</v>
      </c>
      <c r="E66" s="9" t="inlineStr">
        <is>
          <t>Month 1</t>
        </is>
      </c>
      <c r="F66" s="9" t="inlineStr">
        <is>
          <t>Python</t>
        </is>
      </c>
      <c r="G66" s="9" t="inlineStr">
        <is>
          <t>OOP</t>
        </is>
      </c>
      <c r="H66" s="9" t="inlineStr">
        <is>
          <t>Classes</t>
        </is>
      </c>
      <c r="I66" s="9" t="inlineStr">
        <is>
          <t>Master Classes</t>
        </is>
      </c>
      <c r="J66" s="9" t="inlineStr">
        <is>
          <t>30 min</t>
        </is>
      </c>
      <c r="K66" s="9" t="inlineStr">
        <is>
          <t>30 min</t>
        </is>
      </c>
      <c r="L66" s="9" t="inlineStr">
        <is>
          <t>Code/Implement Classes</t>
        </is>
      </c>
      <c r="M66" s="9" t="inlineStr">
        <is>
          <t>15 min</t>
        </is>
      </c>
      <c r="N66" s="9" t="inlineStr">
        <is>
          <t>How is Classes implemented in Python?</t>
        </is>
      </c>
      <c r="O66" s="9" t="inlineStr">
        <is>
          <t>15 min</t>
        </is>
      </c>
      <c r="P66" s="9" t="inlineStr">
        <is>
          <t>Discuss the principles of Classes in OOP.</t>
        </is>
      </c>
      <c r="Q66" s="9" t="inlineStr">
        <is>
          <t>Build/Refine code</t>
        </is>
      </c>
      <c r="R66" s="9" t="inlineStr">
        <is>
          <t>-</t>
        </is>
      </c>
      <c r="S66" s="10" t="inlineStr">
        <is>
          <t>☐ Not Started</t>
        </is>
      </c>
      <c r="T66" s="10">
        <f>IF(S66="☑ Completed", "COMPLETED", "NOT STARTED")</f>
        <v/>
      </c>
      <c r="U66" s="9" t="inlineStr">
        <is>
          <t>Review Notes for Day 13</t>
        </is>
      </c>
    </row>
    <row r="67">
      <c r="A67" s="10" t="n">
        <v>14</v>
      </c>
      <c r="B67" s="10" t="inlineStr">
        <is>
          <t>2026-09-13</t>
        </is>
      </c>
      <c r="C67" s="10" t="n">
        <v>2</v>
      </c>
      <c r="D67" s="10" t="n">
        <v>1</v>
      </c>
      <c r="E67" s="9" t="inlineStr">
        <is>
          <t>Month 1</t>
        </is>
      </c>
      <c r="F67" s="9" t="inlineStr">
        <is>
          <t>Python</t>
        </is>
      </c>
      <c r="G67" s="9" t="inlineStr">
        <is>
          <t>OOP</t>
        </is>
      </c>
      <c r="H67" s="9" t="inlineStr">
        <is>
          <t>Objects</t>
        </is>
      </c>
      <c r="I67" s="9" t="inlineStr">
        <is>
          <t>Master Objects</t>
        </is>
      </c>
      <c r="J67" s="9" t="inlineStr">
        <is>
          <t>45 min</t>
        </is>
      </c>
      <c r="K67" s="9" t="inlineStr">
        <is>
          <t>45 min</t>
        </is>
      </c>
      <c r="L67" s="9" t="inlineStr">
        <is>
          <t>Code/Implement Objects</t>
        </is>
      </c>
      <c r="M67" s="9" t="inlineStr">
        <is>
          <t>15 min</t>
        </is>
      </c>
      <c r="N67" s="9" t="inlineStr">
        <is>
          <t>How is Objects implemented in Python?</t>
        </is>
      </c>
      <c r="O67" s="9" t="inlineStr">
        <is>
          <t>15 min</t>
        </is>
      </c>
      <c r="P67" s="9" t="inlineStr">
        <is>
          <t>Discuss the principles of Objects in OOP.</t>
        </is>
      </c>
      <c r="Q67" s="9" t="inlineStr">
        <is>
          <t>Build/Refine code</t>
        </is>
      </c>
      <c r="R67" s="9" t="n">
        <v>5</v>
      </c>
      <c r="S67" s="10" t="inlineStr">
        <is>
          <t>☐ Not Started</t>
        </is>
      </c>
      <c r="T67" s="10">
        <f>IF(S67="☑ Completed", "COMPLETED", "NOT STARTED")</f>
        <v/>
      </c>
      <c r="U67" s="9" t="inlineStr">
        <is>
          <t>Review Notes for Day 14</t>
        </is>
      </c>
    </row>
    <row r="68">
      <c r="A68" s="10" t="n">
        <v>14</v>
      </c>
      <c r="B68" s="10" t="inlineStr">
        <is>
          <t>2026-09-13</t>
        </is>
      </c>
      <c r="C68" s="10" t="n">
        <v>2</v>
      </c>
      <c r="D68" s="10" t="n">
        <v>1</v>
      </c>
      <c r="E68" s="9" t="inlineStr">
        <is>
          <t>Month 1</t>
        </is>
      </c>
      <c r="F68" s="9" t="inlineStr">
        <is>
          <t>Python</t>
        </is>
      </c>
      <c r="G68" s="9" t="inlineStr">
        <is>
          <t>OOP</t>
        </is>
      </c>
      <c r="H68" s="9" t="inlineStr">
        <is>
          <t>Constructor</t>
        </is>
      </c>
      <c r="I68" s="9" t="inlineStr">
        <is>
          <t>Master Constructor</t>
        </is>
      </c>
      <c r="J68" s="9" t="inlineStr">
        <is>
          <t>30 min</t>
        </is>
      </c>
      <c r="K68" s="9" t="inlineStr">
        <is>
          <t>30 min</t>
        </is>
      </c>
      <c r="L68" s="9" t="inlineStr">
        <is>
          <t>Code/Implement Constructor</t>
        </is>
      </c>
      <c r="M68" s="9" t="inlineStr">
        <is>
          <t>15 min</t>
        </is>
      </c>
      <c r="N68" s="9" t="inlineStr">
        <is>
          <t>How is Constructor implemented in Python?</t>
        </is>
      </c>
      <c r="O68" s="9" t="inlineStr">
        <is>
          <t>15 min</t>
        </is>
      </c>
      <c r="P68" s="9" t="inlineStr">
        <is>
          <t>Discuss the principles of Constructor in OOP.</t>
        </is>
      </c>
      <c r="Q68" s="9" t="inlineStr">
        <is>
          <t>Build/Refine code</t>
        </is>
      </c>
      <c r="R68" s="9" t="inlineStr">
        <is>
          <t>-</t>
        </is>
      </c>
      <c r="S68" s="10" t="inlineStr">
        <is>
          <t>☐ Not Started</t>
        </is>
      </c>
      <c r="T68" s="10">
        <f>IF(S68="☑ Completed", "COMPLETED", "NOT STARTED")</f>
        <v/>
      </c>
      <c r="U68" s="9" t="inlineStr">
        <is>
          <t>Review Notes for Day 14</t>
        </is>
      </c>
    </row>
    <row r="69">
      <c r="A69" s="10" t="n">
        <v>14</v>
      </c>
      <c r="B69" s="10" t="inlineStr">
        <is>
          <t>2026-09-13</t>
        </is>
      </c>
      <c r="C69" s="10" t="n">
        <v>2</v>
      </c>
      <c r="D69" s="10" t="n">
        <v>1</v>
      </c>
      <c r="E69" s="9" t="inlineStr">
        <is>
          <t>Month 1</t>
        </is>
      </c>
      <c r="F69" s="9" t="inlineStr">
        <is>
          <t>Python</t>
        </is>
      </c>
      <c r="G69" s="9" t="inlineStr">
        <is>
          <t>OOP</t>
        </is>
      </c>
      <c r="H69" s="9" t="inlineStr">
        <is>
          <t>self</t>
        </is>
      </c>
      <c r="I69" s="9" t="inlineStr">
        <is>
          <t>Master self</t>
        </is>
      </c>
      <c r="J69" s="9" t="inlineStr">
        <is>
          <t>30 min</t>
        </is>
      </c>
      <c r="K69" s="9" t="inlineStr">
        <is>
          <t>30 min</t>
        </is>
      </c>
      <c r="L69" s="9" t="inlineStr">
        <is>
          <t>Code/Implement self</t>
        </is>
      </c>
      <c r="M69" s="9" t="inlineStr">
        <is>
          <t>15 min</t>
        </is>
      </c>
      <c r="N69" s="9" t="inlineStr">
        <is>
          <t>How is self implemented in Python?</t>
        </is>
      </c>
      <c r="O69" s="9" t="inlineStr">
        <is>
          <t>15 min</t>
        </is>
      </c>
      <c r="P69" s="9" t="inlineStr">
        <is>
          <t>Discuss the principles of self in OOP.</t>
        </is>
      </c>
      <c r="Q69" s="9" t="inlineStr">
        <is>
          <t>Build/Refine code</t>
        </is>
      </c>
      <c r="R69" s="9" t="inlineStr">
        <is>
          <t>-</t>
        </is>
      </c>
      <c r="S69" s="10" t="inlineStr">
        <is>
          <t>☐ Not Started</t>
        </is>
      </c>
      <c r="T69" s="10">
        <f>IF(S69="☑ Completed", "COMPLETED", "NOT STARTED")</f>
        <v/>
      </c>
      <c r="U69" s="9" t="inlineStr">
        <is>
          <t>Review Notes for Day 14</t>
        </is>
      </c>
    </row>
    <row r="70">
      <c r="A70" s="10" t="n">
        <v>14</v>
      </c>
      <c r="B70" s="10" t="inlineStr">
        <is>
          <t>2026-09-13</t>
        </is>
      </c>
      <c r="C70" s="10" t="n">
        <v>2</v>
      </c>
      <c r="D70" s="10" t="n">
        <v>1</v>
      </c>
      <c r="E70" s="9" t="inlineStr">
        <is>
          <t>Month 1</t>
        </is>
      </c>
      <c r="F70" s="9" t="inlineStr">
        <is>
          <t>Python</t>
        </is>
      </c>
      <c r="G70" s="9" t="inlineStr">
        <is>
          <t>OOP</t>
        </is>
      </c>
      <c r="H70" s="9" t="inlineStr">
        <is>
          <t>Instance variables</t>
        </is>
      </c>
      <c r="I70" s="9" t="inlineStr">
        <is>
          <t>Master Instance variables</t>
        </is>
      </c>
      <c r="J70" s="9" t="inlineStr">
        <is>
          <t>30 min</t>
        </is>
      </c>
      <c r="K70" s="9" t="inlineStr">
        <is>
          <t>30 min</t>
        </is>
      </c>
      <c r="L70" s="9" t="inlineStr">
        <is>
          <t>Code/Implement Instance variables</t>
        </is>
      </c>
      <c r="M70" s="9" t="inlineStr">
        <is>
          <t>15 min</t>
        </is>
      </c>
      <c r="N70" s="9" t="inlineStr">
        <is>
          <t>How is Instance variables implemented in Python?</t>
        </is>
      </c>
      <c r="O70" s="9" t="inlineStr">
        <is>
          <t>15 min</t>
        </is>
      </c>
      <c r="P70" s="9" t="inlineStr">
        <is>
          <t>Discuss the principles of Instance variables in OOP.</t>
        </is>
      </c>
      <c r="Q70" s="9" t="inlineStr">
        <is>
          <t>Build/Refine code</t>
        </is>
      </c>
      <c r="R70" s="9" t="inlineStr">
        <is>
          <t>-</t>
        </is>
      </c>
      <c r="S70" s="10" t="inlineStr">
        <is>
          <t>☐ Not Started</t>
        </is>
      </c>
      <c r="T70" s="10">
        <f>IF(S70="☑ Completed", "COMPLETED", "NOT STARTED")</f>
        <v/>
      </c>
      <c r="U70" s="9" t="inlineStr">
        <is>
          <t>Review Notes for Day 14</t>
        </is>
      </c>
    </row>
    <row r="71">
      <c r="A71" s="10" t="n">
        <v>14</v>
      </c>
      <c r="B71" s="10" t="inlineStr">
        <is>
          <t>2026-09-13</t>
        </is>
      </c>
      <c r="C71" s="10" t="n">
        <v>2</v>
      </c>
      <c r="D71" s="10" t="n">
        <v>1</v>
      </c>
      <c r="E71" s="9" t="inlineStr">
        <is>
          <t>Month 1</t>
        </is>
      </c>
      <c r="F71" s="9" t="inlineStr">
        <is>
          <t>Python</t>
        </is>
      </c>
      <c r="G71" s="9" t="inlineStr">
        <is>
          <t>OOP</t>
        </is>
      </c>
      <c r="H71" s="9" t="inlineStr">
        <is>
          <t>Class variables</t>
        </is>
      </c>
      <c r="I71" s="9" t="inlineStr">
        <is>
          <t>Master Class variables</t>
        </is>
      </c>
      <c r="J71" s="9" t="inlineStr">
        <is>
          <t>30 min</t>
        </is>
      </c>
      <c r="K71" s="9" t="inlineStr">
        <is>
          <t>30 min</t>
        </is>
      </c>
      <c r="L71" s="9" t="inlineStr">
        <is>
          <t>Code/Implement Class variables</t>
        </is>
      </c>
      <c r="M71" s="9" t="inlineStr">
        <is>
          <t>15 min</t>
        </is>
      </c>
      <c r="N71" s="9" t="inlineStr">
        <is>
          <t>How is Class variables implemented in Python?</t>
        </is>
      </c>
      <c r="O71" s="9" t="inlineStr">
        <is>
          <t>15 min</t>
        </is>
      </c>
      <c r="P71" s="9" t="inlineStr">
        <is>
          <t>Discuss the principles of Class variables in OOP.</t>
        </is>
      </c>
      <c r="Q71" s="9" t="inlineStr">
        <is>
          <t>Build/Refine code</t>
        </is>
      </c>
      <c r="R71" s="9" t="inlineStr">
        <is>
          <t>-</t>
        </is>
      </c>
      <c r="S71" s="10" t="inlineStr">
        <is>
          <t>☐ Not Started</t>
        </is>
      </c>
      <c r="T71" s="10">
        <f>IF(S71="☑ Completed", "COMPLETED", "NOT STARTED")</f>
        <v/>
      </c>
      <c r="U71" s="9" t="inlineStr">
        <is>
          <t>Review Notes for Day 14</t>
        </is>
      </c>
    </row>
    <row r="72">
      <c r="A72" s="10" t="n">
        <v>15</v>
      </c>
      <c r="B72" s="10" t="inlineStr">
        <is>
          <t>2026-09-14</t>
        </is>
      </c>
      <c r="C72" s="10" t="n">
        <v>3</v>
      </c>
      <c r="D72" s="10" t="n">
        <v>1</v>
      </c>
      <c r="E72" s="9" t="inlineStr">
        <is>
          <t>Month 1</t>
        </is>
      </c>
      <c r="F72" s="9" t="inlineStr">
        <is>
          <t>Python</t>
        </is>
      </c>
      <c r="G72" s="9" t="inlineStr">
        <is>
          <t>OOP</t>
        </is>
      </c>
      <c r="H72" s="9" t="inlineStr">
        <is>
          <t>Methods</t>
        </is>
      </c>
      <c r="I72" s="9" t="inlineStr">
        <is>
          <t>Master Methods</t>
        </is>
      </c>
      <c r="J72" s="9" t="inlineStr">
        <is>
          <t>45 min</t>
        </is>
      </c>
      <c r="K72" s="9" t="inlineStr">
        <is>
          <t>45 min</t>
        </is>
      </c>
      <c r="L72" s="9" t="inlineStr">
        <is>
          <t>Code/Implement Methods</t>
        </is>
      </c>
      <c r="M72" s="9" t="inlineStr">
        <is>
          <t>15 min</t>
        </is>
      </c>
      <c r="N72" s="9" t="inlineStr">
        <is>
          <t>How is Methods implemented in Python?</t>
        </is>
      </c>
      <c r="O72" s="9" t="inlineStr">
        <is>
          <t>15 min</t>
        </is>
      </c>
      <c r="P72" s="9" t="inlineStr">
        <is>
          <t>Discuss the principles of Methods in OOP.</t>
        </is>
      </c>
      <c r="Q72" s="9" t="inlineStr">
        <is>
          <t>Build/Refine code</t>
        </is>
      </c>
      <c r="R72" s="9" t="n">
        <v>8</v>
      </c>
      <c r="S72" s="10" t="inlineStr">
        <is>
          <t>☐ Not Started</t>
        </is>
      </c>
      <c r="T72" s="10">
        <f>IF(S72="☑ Completed", "COMPLETED", "NOT STARTED")</f>
        <v/>
      </c>
      <c r="U72" s="9" t="inlineStr">
        <is>
          <t>Review Notes for Day 15</t>
        </is>
      </c>
    </row>
    <row r="73">
      <c r="A73" s="10" t="n">
        <v>15</v>
      </c>
      <c r="B73" s="10" t="inlineStr">
        <is>
          <t>2026-09-14</t>
        </is>
      </c>
      <c r="C73" s="10" t="n">
        <v>3</v>
      </c>
      <c r="D73" s="10" t="n">
        <v>1</v>
      </c>
      <c r="E73" s="9" t="inlineStr">
        <is>
          <t>Month 1</t>
        </is>
      </c>
      <c r="F73" s="9" t="inlineStr">
        <is>
          <t>Python</t>
        </is>
      </c>
      <c r="G73" s="9" t="inlineStr">
        <is>
          <t>OOP</t>
        </is>
      </c>
      <c r="H73" s="9" t="inlineStr">
        <is>
          <t>Inheritance</t>
        </is>
      </c>
      <c r="I73" s="9" t="inlineStr">
        <is>
          <t>Master Inheritance</t>
        </is>
      </c>
      <c r="J73" s="9" t="inlineStr">
        <is>
          <t>30 min</t>
        </is>
      </c>
      <c r="K73" s="9" t="inlineStr">
        <is>
          <t>30 min</t>
        </is>
      </c>
      <c r="L73" s="9" t="inlineStr">
        <is>
          <t>Code/Implement Inheritance</t>
        </is>
      </c>
      <c r="M73" s="9" t="inlineStr">
        <is>
          <t>15 min</t>
        </is>
      </c>
      <c r="N73" s="9" t="inlineStr">
        <is>
          <t>How is Inheritance implemented in Python?</t>
        </is>
      </c>
      <c r="O73" s="9" t="inlineStr">
        <is>
          <t>15 min</t>
        </is>
      </c>
      <c r="P73" s="9" t="inlineStr">
        <is>
          <t>Discuss the principles of Inheritance in OOP.</t>
        </is>
      </c>
      <c r="Q73" s="9" t="inlineStr">
        <is>
          <t>Build/Refine code</t>
        </is>
      </c>
      <c r="R73" s="9" t="inlineStr">
        <is>
          <t>-</t>
        </is>
      </c>
      <c r="S73" s="10" t="inlineStr">
        <is>
          <t>☐ Not Started</t>
        </is>
      </c>
      <c r="T73" s="10">
        <f>IF(S73="☑ Completed", "COMPLETED", "NOT STARTED")</f>
        <v/>
      </c>
      <c r="U73" s="9" t="inlineStr">
        <is>
          <t>Review Notes for Day 15</t>
        </is>
      </c>
    </row>
    <row r="74">
      <c r="A74" s="10" t="n">
        <v>15</v>
      </c>
      <c r="B74" s="10" t="inlineStr">
        <is>
          <t>2026-09-14</t>
        </is>
      </c>
      <c r="C74" s="10" t="n">
        <v>3</v>
      </c>
      <c r="D74" s="10" t="n">
        <v>1</v>
      </c>
      <c r="E74" s="9" t="inlineStr">
        <is>
          <t>Month 1</t>
        </is>
      </c>
      <c r="F74" s="9" t="inlineStr">
        <is>
          <t>Python</t>
        </is>
      </c>
      <c r="G74" s="9" t="inlineStr">
        <is>
          <t>OOP</t>
        </is>
      </c>
      <c r="H74" s="9" t="inlineStr">
        <is>
          <t>Polymorphism</t>
        </is>
      </c>
      <c r="I74" s="9" t="inlineStr">
        <is>
          <t>Master Polymorphism</t>
        </is>
      </c>
      <c r="J74" s="9" t="inlineStr">
        <is>
          <t>30 min</t>
        </is>
      </c>
      <c r="K74" s="9" t="inlineStr">
        <is>
          <t>30 min</t>
        </is>
      </c>
      <c r="L74" s="9" t="inlineStr">
        <is>
          <t>Code/Implement Polymorphism</t>
        </is>
      </c>
      <c r="M74" s="9" t="inlineStr">
        <is>
          <t>15 min</t>
        </is>
      </c>
      <c r="N74" s="9" t="inlineStr">
        <is>
          <t>How is Polymorphism implemented in Python?</t>
        </is>
      </c>
      <c r="O74" s="9" t="inlineStr">
        <is>
          <t>15 min</t>
        </is>
      </c>
      <c r="P74" s="9" t="inlineStr">
        <is>
          <t>Discuss the principles of Polymorphism in OOP.</t>
        </is>
      </c>
      <c r="Q74" s="9" t="inlineStr">
        <is>
          <t>Build/Refine code</t>
        </is>
      </c>
      <c r="R74" s="9" t="inlineStr">
        <is>
          <t>-</t>
        </is>
      </c>
      <c r="S74" s="10" t="inlineStr">
        <is>
          <t>☐ Not Started</t>
        </is>
      </c>
      <c r="T74" s="10">
        <f>IF(S74="☑ Completed", "COMPLETED", "NOT STARTED")</f>
        <v/>
      </c>
      <c r="U74" s="9" t="inlineStr">
        <is>
          <t>Review Notes for Day 15</t>
        </is>
      </c>
    </row>
    <row r="75">
      <c r="A75" s="10" t="n">
        <v>15</v>
      </c>
      <c r="B75" s="10" t="inlineStr">
        <is>
          <t>2026-09-14</t>
        </is>
      </c>
      <c r="C75" s="10" t="n">
        <v>3</v>
      </c>
      <c r="D75" s="10" t="n">
        <v>1</v>
      </c>
      <c r="E75" s="9" t="inlineStr">
        <is>
          <t>Month 1</t>
        </is>
      </c>
      <c r="F75" s="9" t="inlineStr">
        <is>
          <t>Python</t>
        </is>
      </c>
      <c r="G75" s="9" t="inlineStr">
        <is>
          <t>OOP</t>
        </is>
      </c>
      <c r="H75" s="9" t="inlineStr">
        <is>
          <t>Encapsulation</t>
        </is>
      </c>
      <c r="I75" s="9" t="inlineStr">
        <is>
          <t>Master Encapsulation</t>
        </is>
      </c>
      <c r="J75" s="9" t="inlineStr">
        <is>
          <t>30 min</t>
        </is>
      </c>
      <c r="K75" s="9" t="inlineStr">
        <is>
          <t>30 min</t>
        </is>
      </c>
      <c r="L75" s="9" t="inlineStr">
        <is>
          <t>Code/Implement Encapsulation</t>
        </is>
      </c>
      <c r="M75" s="9" t="inlineStr">
        <is>
          <t>15 min</t>
        </is>
      </c>
      <c r="N75" s="9" t="inlineStr">
        <is>
          <t>How is Encapsulation implemented in Python?</t>
        </is>
      </c>
      <c r="O75" s="9" t="inlineStr">
        <is>
          <t>15 min</t>
        </is>
      </c>
      <c r="P75" s="9" t="inlineStr">
        <is>
          <t>Discuss the principles of Encapsulation in OOP.</t>
        </is>
      </c>
      <c r="Q75" s="9" t="inlineStr">
        <is>
          <t>Build/Refine code</t>
        </is>
      </c>
      <c r="R75" s="9" t="inlineStr">
        <is>
          <t>-</t>
        </is>
      </c>
      <c r="S75" s="10" t="inlineStr">
        <is>
          <t>☐ Not Started</t>
        </is>
      </c>
      <c r="T75" s="10">
        <f>IF(S75="☑ Completed", "COMPLETED", "NOT STARTED")</f>
        <v/>
      </c>
      <c r="U75" s="9" t="inlineStr">
        <is>
          <t>Review Notes for Day 15</t>
        </is>
      </c>
    </row>
    <row r="76">
      <c r="A76" s="10" t="n">
        <v>15</v>
      </c>
      <c r="B76" s="10" t="inlineStr">
        <is>
          <t>2026-09-14</t>
        </is>
      </c>
      <c r="C76" s="10" t="n">
        <v>3</v>
      </c>
      <c r="D76" s="10" t="n">
        <v>1</v>
      </c>
      <c r="E76" s="9" t="inlineStr">
        <is>
          <t>Month 1</t>
        </is>
      </c>
      <c r="F76" s="9" t="inlineStr">
        <is>
          <t>Python</t>
        </is>
      </c>
      <c r="G76" s="9" t="inlineStr">
        <is>
          <t>OOP</t>
        </is>
      </c>
      <c r="H76" s="9" t="inlineStr">
        <is>
          <t>Abstraction</t>
        </is>
      </c>
      <c r="I76" s="9" t="inlineStr">
        <is>
          <t>Master Abstraction</t>
        </is>
      </c>
      <c r="J76" s="9" t="inlineStr">
        <is>
          <t>30 min</t>
        </is>
      </c>
      <c r="K76" s="9" t="inlineStr">
        <is>
          <t>30 min</t>
        </is>
      </c>
      <c r="L76" s="9" t="inlineStr">
        <is>
          <t>Code/Implement Abstraction</t>
        </is>
      </c>
      <c r="M76" s="9" t="inlineStr">
        <is>
          <t>15 min</t>
        </is>
      </c>
      <c r="N76" s="9" t="inlineStr">
        <is>
          <t>How is Abstraction implemented in Python?</t>
        </is>
      </c>
      <c r="O76" s="9" t="inlineStr">
        <is>
          <t>15 min</t>
        </is>
      </c>
      <c r="P76" s="9" t="inlineStr">
        <is>
          <t>Discuss the principles of Abstraction in OOP.</t>
        </is>
      </c>
      <c r="Q76" s="9" t="inlineStr">
        <is>
          <t>Build/Refine code</t>
        </is>
      </c>
      <c r="R76" s="9" t="inlineStr">
        <is>
          <t>-</t>
        </is>
      </c>
      <c r="S76" s="10" t="inlineStr">
        <is>
          <t>☐ Not Started</t>
        </is>
      </c>
      <c r="T76" s="10">
        <f>IF(S76="☑ Completed", "COMPLETED", "NOT STARTED")</f>
        <v/>
      </c>
      <c r="U76" s="9" t="inlineStr">
        <is>
          <t>Review Notes for Day 15</t>
        </is>
      </c>
    </row>
    <row r="77">
      <c r="A77" s="10" t="n">
        <v>16</v>
      </c>
      <c r="B77" s="10" t="inlineStr">
        <is>
          <t>2026-09-15</t>
        </is>
      </c>
      <c r="C77" s="10" t="n">
        <v>3</v>
      </c>
      <c r="D77" s="10" t="n">
        <v>1</v>
      </c>
      <c r="E77" s="9" t="inlineStr">
        <is>
          <t>Month 1</t>
        </is>
      </c>
      <c r="F77" s="9" t="inlineStr">
        <is>
          <t>Python</t>
        </is>
      </c>
      <c r="G77" s="9" t="inlineStr">
        <is>
          <t>OOP</t>
        </is>
      </c>
      <c r="H77" s="9" t="inlineStr">
        <is>
          <t>Iterators</t>
        </is>
      </c>
      <c r="I77" s="9" t="inlineStr">
        <is>
          <t>Master Iterators</t>
        </is>
      </c>
      <c r="J77" s="9" t="inlineStr">
        <is>
          <t>45 min</t>
        </is>
      </c>
      <c r="K77" s="9" t="inlineStr">
        <is>
          <t>45 min</t>
        </is>
      </c>
      <c r="L77" s="9" t="inlineStr">
        <is>
          <t>Code/Implement Iterators</t>
        </is>
      </c>
      <c r="M77" s="9" t="inlineStr">
        <is>
          <t>15 min</t>
        </is>
      </c>
      <c r="N77" s="9" t="inlineStr">
        <is>
          <t>How is Iterators implemented in Python?</t>
        </is>
      </c>
      <c r="O77" s="9" t="inlineStr">
        <is>
          <t>15 min</t>
        </is>
      </c>
      <c r="P77" s="9" t="inlineStr">
        <is>
          <t>Discuss the principles of Iterators in OOP.</t>
        </is>
      </c>
      <c r="Q77" s="9" t="inlineStr">
        <is>
          <t>Build/Refine code</t>
        </is>
      </c>
      <c r="R77" s="9" t="n">
        <v>8</v>
      </c>
      <c r="S77" s="10" t="inlineStr">
        <is>
          <t>☐ Not Started</t>
        </is>
      </c>
      <c r="T77" s="10">
        <f>IF(S77="☑ Completed", "COMPLETED", "NOT STARTED")</f>
        <v/>
      </c>
      <c r="U77" s="9" t="inlineStr">
        <is>
          <t>Review Notes for Day 16</t>
        </is>
      </c>
    </row>
    <row r="78">
      <c r="A78" s="10" t="n">
        <v>16</v>
      </c>
      <c r="B78" s="10" t="inlineStr">
        <is>
          <t>2026-09-15</t>
        </is>
      </c>
      <c r="C78" s="10" t="n">
        <v>3</v>
      </c>
      <c r="D78" s="10" t="n">
        <v>1</v>
      </c>
      <c r="E78" s="9" t="inlineStr">
        <is>
          <t>Month 1</t>
        </is>
      </c>
      <c r="F78" s="9" t="inlineStr">
        <is>
          <t>Python</t>
        </is>
      </c>
      <c r="G78" s="9" t="inlineStr">
        <is>
          <t>OOP</t>
        </is>
      </c>
      <c r="H78" s="9" t="inlineStr">
        <is>
          <t>Generators</t>
        </is>
      </c>
      <c r="I78" s="9" t="inlineStr">
        <is>
          <t>Master Generators</t>
        </is>
      </c>
      <c r="J78" s="9" t="inlineStr">
        <is>
          <t>30 min</t>
        </is>
      </c>
      <c r="K78" s="9" t="inlineStr">
        <is>
          <t>30 min</t>
        </is>
      </c>
      <c r="L78" s="9" t="inlineStr">
        <is>
          <t>Code/Implement Generators</t>
        </is>
      </c>
      <c r="M78" s="9" t="inlineStr">
        <is>
          <t>15 min</t>
        </is>
      </c>
      <c r="N78" s="9" t="inlineStr">
        <is>
          <t>How is Generators implemented in Python?</t>
        </is>
      </c>
      <c r="O78" s="9" t="inlineStr">
        <is>
          <t>15 min</t>
        </is>
      </c>
      <c r="P78" s="9" t="inlineStr">
        <is>
          <t>Discuss the principles of Generators in OOP.</t>
        </is>
      </c>
      <c r="Q78" s="9" t="inlineStr">
        <is>
          <t>Build/Refine code</t>
        </is>
      </c>
      <c r="R78" s="9" t="inlineStr">
        <is>
          <t>-</t>
        </is>
      </c>
      <c r="S78" s="10" t="inlineStr">
        <is>
          <t>☐ Not Started</t>
        </is>
      </c>
      <c r="T78" s="10">
        <f>IF(S78="☑ Completed", "COMPLETED", "NOT STARTED")</f>
        <v/>
      </c>
      <c r="U78" s="9" t="inlineStr">
        <is>
          <t>Review Notes for Day 16</t>
        </is>
      </c>
    </row>
    <row r="79">
      <c r="A79" s="10" t="n">
        <v>16</v>
      </c>
      <c r="B79" s="10" t="inlineStr">
        <is>
          <t>2026-09-15</t>
        </is>
      </c>
      <c r="C79" s="10" t="n">
        <v>3</v>
      </c>
      <c r="D79" s="10" t="n">
        <v>1</v>
      </c>
      <c r="E79" s="9" t="inlineStr">
        <is>
          <t>Month 1</t>
        </is>
      </c>
      <c r="F79" s="9" t="inlineStr">
        <is>
          <t>Python</t>
        </is>
      </c>
      <c r="G79" s="9" t="inlineStr">
        <is>
          <t>OOP</t>
        </is>
      </c>
      <c r="H79" s="9" t="inlineStr">
        <is>
          <t>Decorators</t>
        </is>
      </c>
      <c r="I79" s="9" t="inlineStr">
        <is>
          <t>Master Decorators</t>
        </is>
      </c>
      <c r="J79" s="9" t="inlineStr">
        <is>
          <t>30 min</t>
        </is>
      </c>
      <c r="K79" s="9" t="inlineStr">
        <is>
          <t>30 min</t>
        </is>
      </c>
      <c r="L79" s="9" t="inlineStr">
        <is>
          <t>Code/Implement Decorators</t>
        </is>
      </c>
      <c r="M79" s="9" t="inlineStr">
        <is>
          <t>15 min</t>
        </is>
      </c>
      <c r="N79" s="9" t="inlineStr">
        <is>
          <t>How is Decorators implemented in Python?</t>
        </is>
      </c>
      <c r="O79" s="9" t="inlineStr">
        <is>
          <t>15 min</t>
        </is>
      </c>
      <c r="P79" s="9" t="inlineStr">
        <is>
          <t>Discuss the principles of Decorators in OOP.</t>
        </is>
      </c>
      <c r="Q79" s="9" t="inlineStr">
        <is>
          <t>Build/Refine code</t>
        </is>
      </c>
      <c r="R79" s="9" t="inlineStr">
        <is>
          <t>-</t>
        </is>
      </c>
      <c r="S79" s="10" t="inlineStr">
        <is>
          <t>☐ Not Started</t>
        </is>
      </c>
      <c r="T79" s="10">
        <f>IF(S79="☑ Completed", "COMPLETED", "NOT STARTED")</f>
        <v/>
      </c>
      <c r="U79" s="9" t="inlineStr">
        <is>
          <t>Review Notes for Day 16</t>
        </is>
      </c>
    </row>
    <row r="80">
      <c r="A80" s="10" t="n">
        <v>16</v>
      </c>
      <c r="B80" s="10" t="inlineStr">
        <is>
          <t>2026-09-15</t>
        </is>
      </c>
      <c r="C80" s="10" t="n">
        <v>3</v>
      </c>
      <c r="D80" s="10" t="n">
        <v>1</v>
      </c>
      <c r="E80" s="9" t="inlineStr">
        <is>
          <t>Month 1</t>
        </is>
      </c>
      <c r="F80" s="9" t="inlineStr">
        <is>
          <t>NumPy</t>
        </is>
      </c>
      <c r="G80" s="9" t="inlineStr">
        <is>
          <t>Arrays</t>
        </is>
      </c>
      <c r="H80" s="9" t="inlineStr">
        <is>
          <t>Array creation</t>
        </is>
      </c>
      <c r="I80" s="9" t="inlineStr">
        <is>
          <t>Master Array creation</t>
        </is>
      </c>
      <c r="J80" s="9" t="inlineStr">
        <is>
          <t>30 min</t>
        </is>
      </c>
      <c r="K80" s="9" t="inlineStr">
        <is>
          <t>30 min</t>
        </is>
      </c>
      <c r="L80" s="9" t="inlineStr">
        <is>
          <t>Code/Implement Array creation</t>
        </is>
      </c>
      <c r="M80" s="9" t="inlineStr">
        <is>
          <t>15 min</t>
        </is>
      </c>
      <c r="N80" s="9" t="inlineStr">
        <is>
          <t>Why is NumPy faster for Array creation?</t>
        </is>
      </c>
      <c r="O80" s="9" t="inlineStr">
        <is>
          <t>15 min</t>
        </is>
      </c>
      <c r="P80" s="9" t="inlineStr">
        <is>
          <t>Explain how Array creation changes the data structure.</t>
        </is>
      </c>
      <c r="Q80" s="9" t="inlineStr">
        <is>
          <t>Build/Refine code</t>
        </is>
      </c>
      <c r="R80" s="9" t="inlineStr">
        <is>
          <t>-</t>
        </is>
      </c>
      <c r="S80" s="10" t="inlineStr">
        <is>
          <t>☐ Not Started</t>
        </is>
      </c>
      <c r="T80" s="10">
        <f>IF(S80="☑ Completed", "COMPLETED", "NOT STARTED")</f>
        <v/>
      </c>
      <c r="U80" s="9" t="inlineStr">
        <is>
          <t>Review Notes for Day 16</t>
        </is>
      </c>
    </row>
    <row r="81">
      <c r="A81" s="10" t="n">
        <v>16</v>
      </c>
      <c r="B81" s="10" t="inlineStr">
        <is>
          <t>2026-09-15</t>
        </is>
      </c>
      <c r="C81" s="10" t="n">
        <v>3</v>
      </c>
      <c r="D81" s="10" t="n">
        <v>1</v>
      </c>
      <c r="E81" s="9" t="inlineStr">
        <is>
          <t>Month 1</t>
        </is>
      </c>
      <c r="F81" s="9" t="inlineStr">
        <is>
          <t>NumPy</t>
        </is>
      </c>
      <c r="G81" s="9" t="inlineStr">
        <is>
          <t>Arrays</t>
        </is>
      </c>
      <c r="H81" s="9" t="inlineStr">
        <is>
          <t>Shape</t>
        </is>
      </c>
      <c r="I81" s="9" t="inlineStr">
        <is>
          <t>Master Shape</t>
        </is>
      </c>
      <c r="J81" s="9" t="inlineStr">
        <is>
          <t>30 min</t>
        </is>
      </c>
      <c r="K81" s="9" t="inlineStr">
        <is>
          <t>30 min</t>
        </is>
      </c>
      <c r="L81" s="9" t="inlineStr">
        <is>
          <t>Code/Implement Shape</t>
        </is>
      </c>
      <c r="M81" s="9" t="inlineStr">
        <is>
          <t>15 min</t>
        </is>
      </c>
      <c r="N81" s="9" t="inlineStr">
        <is>
          <t>Why is NumPy faster for Shape?</t>
        </is>
      </c>
      <c r="O81" s="9" t="inlineStr">
        <is>
          <t>15 min</t>
        </is>
      </c>
      <c r="P81" s="9" t="inlineStr">
        <is>
          <t>Explain how Shape changes the data structure.</t>
        </is>
      </c>
      <c r="Q81" s="9" t="inlineStr">
        <is>
          <t>Build/Refine code</t>
        </is>
      </c>
      <c r="R81" s="9" t="inlineStr">
        <is>
          <t>-</t>
        </is>
      </c>
      <c r="S81" s="10" t="inlineStr">
        <is>
          <t>☐ Not Started</t>
        </is>
      </c>
      <c r="T81" s="10">
        <f>IF(S81="☑ Completed", "COMPLETED", "NOT STARTED")</f>
        <v/>
      </c>
      <c r="U81" s="9" t="inlineStr">
        <is>
          <t>Review Notes for Day 16</t>
        </is>
      </c>
    </row>
    <row r="82">
      <c r="A82" s="10" t="n">
        <v>17</v>
      </c>
      <c r="B82" s="10" t="inlineStr">
        <is>
          <t>2026-09-16</t>
        </is>
      </c>
      <c r="C82" s="10" t="n">
        <v>3</v>
      </c>
      <c r="D82" s="10" t="n">
        <v>1</v>
      </c>
      <c r="E82" s="9" t="inlineStr">
        <is>
          <t>Month 1</t>
        </is>
      </c>
      <c r="F82" s="9" t="inlineStr">
        <is>
          <t>NumPy</t>
        </is>
      </c>
      <c r="G82" s="9" t="inlineStr">
        <is>
          <t>Arrays</t>
        </is>
      </c>
      <c r="H82" s="9" t="inlineStr">
        <is>
          <t>Size</t>
        </is>
      </c>
      <c r="I82" s="9" t="inlineStr">
        <is>
          <t>Master Size</t>
        </is>
      </c>
      <c r="J82" s="9" t="inlineStr">
        <is>
          <t>45 min</t>
        </is>
      </c>
      <c r="K82" s="9" t="inlineStr">
        <is>
          <t>45 min</t>
        </is>
      </c>
      <c r="L82" s="9" t="inlineStr">
        <is>
          <t>Code/Implement Size</t>
        </is>
      </c>
      <c r="M82" s="9" t="inlineStr">
        <is>
          <t>15 min</t>
        </is>
      </c>
      <c r="N82" s="9" t="inlineStr">
        <is>
          <t>Why is NumPy faster for Size?</t>
        </is>
      </c>
      <c r="O82" s="9" t="inlineStr">
        <is>
          <t>15 min</t>
        </is>
      </c>
      <c r="P82" s="9" t="inlineStr">
        <is>
          <t>Explain how Size changes the data structure.</t>
        </is>
      </c>
      <c r="Q82" s="9" t="inlineStr">
        <is>
          <t>Build/Refine code</t>
        </is>
      </c>
      <c r="R82" s="9" t="n">
        <v>8</v>
      </c>
      <c r="S82" s="10" t="inlineStr">
        <is>
          <t>☐ Not Started</t>
        </is>
      </c>
      <c r="T82" s="10">
        <f>IF(S82="☑ Completed", "COMPLETED", "NOT STARTED")</f>
        <v/>
      </c>
      <c r="U82" s="9" t="inlineStr">
        <is>
          <t>Review Notes for Day 17</t>
        </is>
      </c>
    </row>
    <row r="83">
      <c r="A83" s="10" t="n">
        <v>17</v>
      </c>
      <c r="B83" s="10" t="inlineStr">
        <is>
          <t>2026-09-16</t>
        </is>
      </c>
      <c r="C83" s="10" t="n">
        <v>3</v>
      </c>
      <c r="D83" s="10" t="n">
        <v>1</v>
      </c>
      <c r="E83" s="9" t="inlineStr">
        <is>
          <t>Month 1</t>
        </is>
      </c>
      <c r="F83" s="9" t="inlineStr">
        <is>
          <t>NumPy</t>
        </is>
      </c>
      <c r="G83" s="9" t="inlineStr">
        <is>
          <t>Arrays</t>
        </is>
      </c>
      <c r="H83" s="9" t="inlineStr">
        <is>
          <t>Indexing</t>
        </is>
      </c>
      <c r="I83" s="9" t="inlineStr">
        <is>
          <t>Master Indexing</t>
        </is>
      </c>
      <c r="J83" s="9" t="inlineStr">
        <is>
          <t>30 min</t>
        </is>
      </c>
      <c r="K83" s="9" t="inlineStr">
        <is>
          <t>30 min</t>
        </is>
      </c>
      <c r="L83" s="9" t="inlineStr">
        <is>
          <t>Code/Implement Indexing</t>
        </is>
      </c>
      <c r="M83" s="9" t="inlineStr">
        <is>
          <t>15 min</t>
        </is>
      </c>
      <c r="N83" s="9" t="inlineStr">
        <is>
          <t>Why is NumPy faster for Indexing?</t>
        </is>
      </c>
      <c r="O83" s="9" t="inlineStr">
        <is>
          <t>15 min</t>
        </is>
      </c>
      <c r="P83" s="9" t="inlineStr">
        <is>
          <t>Explain how Indexing changes the data structure.</t>
        </is>
      </c>
      <c r="Q83" s="9" t="inlineStr">
        <is>
          <t>Build/Refine code</t>
        </is>
      </c>
      <c r="R83" s="9" t="inlineStr">
        <is>
          <t>-</t>
        </is>
      </c>
      <c r="S83" s="10" t="inlineStr">
        <is>
          <t>☐ Not Started</t>
        </is>
      </c>
      <c r="T83" s="10">
        <f>IF(S83="☑ Completed", "COMPLETED", "NOT STARTED")</f>
        <v/>
      </c>
      <c r="U83" s="9" t="inlineStr">
        <is>
          <t>Review Notes for Day 17</t>
        </is>
      </c>
    </row>
    <row r="84">
      <c r="A84" s="10" t="n">
        <v>17</v>
      </c>
      <c r="B84" s="10" t="inlineStr">
        <is>
          <t>2026-09-16</t>
        </is>
      </c>
      <c r="C84" s="10" t="n">
        <v>3</v>
      </c>
      <c r="D84" s="10" t="n">
        <v>1</v>
      </c>
      <c r="E84" s="9" t="inlineStr">
        <is>
          <t>Month 1</t>
        </is>
      </c>
      <c r="F84" s="9" t="inlineStr">
        <is>
          <t>NumPy</t>
        </is>
      </c>
      <c r="G84" s="9" t="inlineStr">
        <is>
          <t>Arrays</t>
        </is>
      </c>
      <c r="H84" s="9" t="inlineStr">
        <is>
          <t>Slicing</t>
        </is>
      </c>
      <c r="I84" s="9" t="inlineStr">
        <is>
          <t>Master Slicing</t>
        </is>
      </c>
      <c r="J84" s="9" t="inlineStr">
        <is>
          <t>30 min</t>
        </is>
      </c>
      <c r="K84" s="9" t="inlineStr">
        <is>
          <t>30 min</t>
        </is>
      </c>
      <c r="L84" s="9" t="inlineStr">
        <is>
          <t>Code/Implement Slicing</t>
        </is>
      </c>
      <c r="M84" s="9" t="inlineStr">
        <is>
          <t>15 min</t>
        </is>
      </c>
      <c r="N84" s="9" t="inlineStr">
        <is>
          <t>Why is NumPy faster for Slicing?</t>
        </is>
      </c>
      <c r="O84" s="9" t="inlineStr">
        <is>
          <t>15 min</t>
        </is>
      </c>
      <c r="P84" s="9" t="inlineStr">
        <is>
          <t>Explain how Slicing changes the data structure.</t>
        </is>
      </c>
      <c r="Q84" s="9" t="inlineStr">
        <is>
          <t>Build/Refine code</t>
        </is>
      </c>
      <c r="R84" s="9" t="inlineStr">
        <is>
          <t>-</t>
        </is>
      </c>
      <c r="S84" s="10" t="inlineStr">
        <is>
          <t>☐ Not Started</t>
        </is>
      </c>
      <c r="T84" s="10">
        <f>IF(S84="☑ Completed", "COMPLETED", "NOT STARTED")</f>
        <v/>
      </c>
      <c r="U84" s="9" t="inlineStr">
        <is>
          <t>Review Notes for Day 17</t>
        </is>
      </c>
    </row>
    <row r="85">
      <c r="A85" s="10" t="n">
        <v>17</v>
      </c>
      <c r="B85" s="10" t="inlineStr">
        <is>
          <t>2026-09-16</t>
        </is>
      </c>
      <c r="C85" s="10" t="n">
        <v>3</v>
      </c>
      <c r="D85" s="10" t="n">
        <v>1</v>
      </c>
      <c r="E85" s="9" t="inlineStr">
        <is>
          <t>Month 1</t>
        </is>
      </c>
      <c r="F85" s="9" t="inlineStr">
        <is>
          <t>NumPy</t>
        </is>
      </c>
      <c r="G85" s="9" t="inlineStr">
        <is>
          <t>Arrays</t>
        </is>
      </c>
      <c r="H85" s="9" t="inlineStr">
        <is>
          <t>Reshape</t>
        </is>
      </c>
      <c r="I85" s="9" t="inlineStr">
        <is>
          <t>Master Reshape</t>
        </is>
      </c>
      <c r="J85" s="9" t="inlineStr">
        <is>
          <t>30 min</t>
        </is>
      </c>
      <c r="K85" s="9" t="inlineStr">
        <is>
          <t>30 min</t>
        </is>
      </c>
      <c r="L85" s="9" t="inlineStr">
        <is>
          <t>Code/Implement Reshape</t>
        </is>
      </c>
      <c r="M85" s="9" t="inlineStr">
        <is>
          <t>15 min</t>
        </is>
      </c>
      <c r="N85" s="9" t="inlineStr">
        <is>
          <t>Why is NumPy faster for Reshape?</t>
        </is>
      </c>
      <c r="O85" s="9" t="inlineStr">
        <is>
          <t>15 min</t>
        </is>
      </c>
      <c r="P85" s="9" t="inlineStr">
        <is>
          <t>Explain how Reshape changes the data structure.</t>
        </is>
      </c>
      <c r="Q85" s="9" t="inlineStr">
        <is>
          <t>Build/Refine code</t>
        </is>
      </c>
      <c r="R85" s="9" t="inlineStr">
        <is>
          <t>-</t>
        </is>
      </c>
      <c r="S85" s="10" t="inlineStr">
        <is>
          <t>☐ Not Started</t>
        </is>
      </c>
      <c r="T85" s="10">
        <f>IF(S85="☑ Completed", "COMPLETED", "NOT STARTED")</f>
        <v/>
      </c>
      <c r="U85" s="9" t="inlineStr">
        <is>
          <t>Review Notes for Day 17</t>
        </is>
      </c>
    </row>
    <row r="86">
      <c r="A86" s="10" t="n">
        <v>17</v>
      </c>
      <c r="B86" s="10" t="inlineStr">
        <is>
          <t>2026-09-16</t>
        </is>
      </c>
      <c r="C86" s="10" t="n">
        <v>3</v>
      </c>
      <c r="D86" s="10" t="n">
        <v>1</v>
      </c>
      <c r="E86" s="9" t="inlineStr">
        <is>
          <t>Month 1</t>
        </is>
      </c>
      <c r="F86" s="9" t="inlineStr">
        <is>
          <t>NumPy</t>
        </is>
      </c>
      <c r="G86" s="9" t="inlineStr">
        <is>
          <t>Arrays</t>
        </is>
      </c>
      <c r="H86" s="9" t="inlineStr">
        <is>
          <t>Flatten</t>
        </is>
      </c>
      <c r="I86" s="9" t="inlineStr">
        <is>
          <t>Master Flatten</t>
        </is>
      </c>
      <c r="J86" s="9" t="inlineStr">
        <is>
          <t>30 min</t>
        </is>
      </c>
      <c r="K86" s="9" t="inlineStr">
        <is>
          <t>30 min</t>
        </is>
      </c>
      <c r="L86" s="9" t="inlineStr">
        <is>
          <t>Code/Implement Flatten</t>
        </is>
      </c>
      <c r="M86" s="9" t="inlineStr">
        <is>
          <t>15 min</t>
        </is>
      </c>
      <c r="N86" s="9" t="inlineStr">
        <is>
          <t>Why is NumPy faster for Flatten?</t>
        </is>
      </c>
      <c r="O86" s="9" t="inlineStr">
        <is>
          <t>15 min</t>
        </is>
      </c>
      <c r="P86" s="9" t="inlineStr">
        <is>
          <t>Explain how Flatten changes the data structure.</t>
        </is>
      </c>
      <c r="Q86" s="9" t="inlineStr">
        <is>
          <t>Build/Refine code</t>
        </is>
      </c>
      <c r="R86" s="9" t="inlineStr">
        <is>
          <t>-</t>
        </is>
      </c>
      <c r="S86" s="10" t="inlineStr">
        <is>
          <t>☐ Not Started</t>
        </is>
      </c>
      <c r="T86" s="10">
        <f>IF(S86="☑ Completed", "COMPLETED", "NOT STARTED")</f>
        <v/>
      </c>
      <c r="U86" s="9" t="inlineStr">
        <is>
          <t>Review Notes for Day 17</t>
        </is>
      </c>
    </row>
    <row r="87">
      <c r="A87" s="10" t="n">
        <v>18</v>
      </c>
      <c r="B87" s="10" t="inlineStr">
        <is>
          <t>2026-09-17</t>
        </is>
      </c>
      <c r="C87" s="10" t="n">
        <v>3</v>
      </c>
      <c r="D87" s="10" t="n">
        <v>1</v>
      </c>
      <c r="E87" s="9" t="inlineStr">
        <is>
          <t>Month 1</t>
        </is>
      </c>
      <c r="F87" s="9" t="inlineStr">
        <is>
          <t>NumPy</t>
        </is>
      </c>
      <c r="G87" s="9" t="inlineStr">
        <is>
          <t>Arrays</t>
        </is>
      </c>
      <c r="H87" s="9" t="inlineStr">
        <is>
          <t>Transpose</t>
        </is>
      </c>
      <c r="I87" s="9" t="inlineStr">
        <is>
          <t>Master Transpose</t>
        </is>
      </c>
      <c r="J87" s="9" t="inlineStr">
        <is>
          <t>45 min</t>
        </is>
      </c>
      <c r="K87" s="9" t="inlineStr">
        <is>
          <t>45 min</t>
        </is>
      </c>
      <c r="L87" s="9" t="inlineStr">
        <is>
          <t>Code/Implement Transpose</t>
        </is>
      </c>
      <c r="M87" s="9" t="inlineStr">
        <is>
          <t>15 min</t>
        </is>
      </c>
      <c r="N87" s="9" t="inlineStr">
        <is>
          <t>Why is NumPy faster for Transpose?</t>
        </is>
      </c>
      <c r="O87" s="9" t="inlineStr">
        <is>
          <t>15 min</t>
        </is>
      </c>
      <c r="P87" s="9" t="inlineStr">
        <is>
          <t>Explain how Transpose changes the data structure.</t>
        </is>
      </c>
      <c r="Q87" s="9" t="inlineStr">
        <is>
          <t>Build/Refine code</t>
        </is>
      </c>
      <c r="R87" s="9" t="n">
        <v>8</v>
      </c>
      <c r="S87" s="10" t="inlineStr">
        <is>
          <t>☐ Not Started</t>
        </is>
      </c>
      <c r="T87" s="10">
        <f>IF(S87="☑ Completed", "COMPLETED", "NOT STARTED")</f>
        <v/>
      </c>
      <c r="U87" s="9" t="inlineStr">
        <is>
          <t>Review Notes for Day 18</t>
        </is>
      </c>
    </row>
    <row r="88">
      <c r="A88" s="10" t="n">
        <v>18</v>
      </c>
      <c r="B88" s="10" t="inlineStr">
        <is>
          <t>2026-09-17</t>
        </is>
      </c>
      <c r="C88" s="10" t="n">
        <v>3</v>
      </c>
      <c r="D88" s="10" t="n">
        <v>1</v>
      </c>
      <c r="E88" s="9" t="inlineStr">
        <is>
          <t>Month 1</t>
        </is>
      </c>
      <c r="F88" s="9" t="inlineStr">
        <is>
          <t>NumPy</t>
        </is>
      </c>
      <c r="G88" s="9" t="inlineStr">
        <is>
          <t>Arrays</t>
        </is>
      </c>
      <c r="H88" s="9" t="inlineStr">
        <is>
          <t>Broadcasting</t>
        </is>
      </c>
      <c r="I88" s="9" t="inlineStr">
        <is>
          <t>Master Broadcasting</t>
        </is>
      </c>
      <c r="J88" s="9" t="inlineStr">
        <is>
          <t>30 min</t>
        </is>
      </c>
      <c r="K88" s="9" t="inlineStr">
        <is>
          <t>30 min</t>
        </is>
      </c>
      <c r="L88" s="9" t="inlineStr">
        <is>
          <t>Code/Implement Broadcasting</t>
        </is>
      </c>
      <c r="M88" s="9" t="inlineStr">
        <is>
          <t>15 min</t>
        </is>
      </c>
      <c r="N88" s="9" t="inlineStr">
        <is>
          <t>Why is NumPy faster for Broadcasting?</t>
        </is>
      </c>
      <c r="O88" s="9" t="inlineStr">
        <is>
          <t>15 min</t>
        </is>
      </c>
      <c r="P88" s="9" t="inlineStr">
        <is>
          <t>Explain how Broadcasting changes the data structure.</t>
        </is>
      </c>
      <c r="Q88" s="9" t="inlineStr">
        <is>
          <t>Build/Refine code</t>
        </is>
      </c>
      <c r="R88" s="9" t="inlineStr">
        <is>
          <t>-</t>
        </is>
      </c>
      <c r="S88" s="10" t="inlineStr">
        <is>
          <t>☐ Not Started</t>
        </is>
      </c>
      <c r="T88" s="10">
        <f>IF(S88="☑ Completed", "COMPLETED", "NOT STARTED")</f>
        <v/>
      </c>
      <c r="U88" s="9" t="inlineStr">
        <is>
          <t>Review Notes for Day 18</t>
        </is>
      </c>
    </row>
    <row r="89">
      <c r="A89" s="10" t="n">
        <v>18</v>
      </c>
      <c r="B89" s="10" t="inlineStr">
        <is>
          <t>2026-09-17</t>
        </is>
      </c>
      <c r="C89" s="10" t="n">
        <v>3</v>
      </c>
      <c r="D89" s="10" t="n">
        <v>1</v>
      </c>
      <c r="E89" s="9" t="inlineStr">
        <is>
          <t>Month 1</t>
        </is>
      </c>
      <c r="F89" s="9" t="inlineStr">
        <is>
          <t>NumPy</t>
        </is>
      </c>
      <c r="G89" s="9" t="inlineStr">
        <is>
          <t>Arrays</t>
        </is>
      </c>
      <c r="H89" s="9" t="inlineStr">
        <is>
          <t>Vectorized operations</t>
        </is>
      </c>
      <c r="I89" s="9" t="inlineStr">
        <is>
          <t>Master Vectorized operations</t>
        </is>
      </c>
      <c r="J89" s="9" t="inlineStr">
        <is>
          <t>30 min</t>
        </is>
      </c>
      <c r="K89" s="9" t="inlineStr">
        <is>
          <t>30 min</t>
        </is>
      </c>
      <c r="L89" s="9" t="inlineStr">
        <is>
          <t>Code/Implement Vectorized operations</t>
        </is>
      </c>
      <c r="M89" s="9" t="inlineStr">
        <is>
          <t>15 min</t>
        </is>
      </c>
      <c r="N89" s="9" t="inlineStr">
        <is>
          <t>Why is NumPy faster for Vectorized operations?</t>
        </is>
      </c>
      <c r="O89" s="9" t="inlineStr">
        <is>
          <t>15 min</t>
        </is>
      </c>
      <c r="P89" s="9" t="inlineStr">
        <is>
          <t>Explain how Vectorized operations changes the data structure.</t>
        </is>
      </c>
      <c r="Q89" s="9" t="inlineStr">
        <is>
          <t>Build/Refine code</t>
        </is>
      </c>
      <c r="R89" s="9" t="inlineStr">
        <is>
          <t>-</t>
        </is>
      </c>
      <c r="S89" s="10" t="inlineStr">
        <is>
          <t>☐ Not Started</t>
        </is>
      </c>
      <c r="T89" s="10">
        <f>IF(S89="☑ Completed", "COMPLETED", "NOT STARTED")</f>
        <v/>
      </c>
      <c r="U89" s="9" t="inlineStr">
        <is>
          <t>Review Notes for Day 18</t>
        </is>
      </c>
    </row>
    <row r="90">
      <c r="A90" s="10" t="n">
        <v>18</v>
      </c>
      <c r="B90" s="10" t="inlineStr">
        <is>
          <t>2026-09-17</t>
        </is>
      </c>
      <c r="C90" s="10" t="n">
        <v>3</v>
      </c>
      <c r="D90" s="10" t="n">
        <v>1</v>
      </c>
      <c r="E90" s="9" t="inlineStr">
        <is>
          <t>Month 1</t>
        </is>
      </c>
      <c r="F90" s="9" t="inlineStr">
        <is>
          <t>NumPy</t>
        </is>
      </c>
      <c r="G90" s="9" t="inlineStr">
        <is>
          <t>Arrays</t>
        </is>
      </c>
      <c r="H90" s="9" t="inlineStr">
        <is>
          <t>Aggregation</t>
        </is>
      </c>
      <c r="I90" s="9" t="inlineStr">
        <is>
          <t>Master Aggregation</t>
        </is>
      </c>
      <c r="J90" s="9" t="inlineStr">
        <is>
          <t>30 min</t>
        </is>
      </c>
      <c r="K90" s="9" t="inlineStr">
        <is>
          <t>30 min</t>
        </is>
      </c>
      <c r="L90" s="9" t="inlineStr">
        <is>
          <t>Code/Implement Aggregation</t>
        </is>
      </c>
      <c r="M90" s="9" t="inlineStr">
        <is>
          <t>15 min</t>
        </is>
      </c>
      <c r="N90" s="9" t="inlineStr">
        <is>
          <t>Why is NumPy faster for Aggregation?</t>
        </is>
      </c>
      <c r="O90" s="9" t="inlineStr">
        <is>
          <t>15 min</t>
        </is>
      </c>
      <c r="P90" s="9" t="inlineStr">
        <is>
          <t>Explain how Aggregation changes the data structure.</t>
        </is>
      </c>
      <c r="Q90" s="9" t="inlineStr">
        <is>
          <t>Build/Refine code</t>
        </is>
      </c>
      <c r="R90" s="9" t="inlineStr">
        <is>
          <t>-</t>
        </is>
      </c>
      <c r="S90" s="10" t="inlineStr">
        <is>
          <t>☐ Not Started</t>
        </is>
      </c>
      <c r="T90" s="10">
        <f>IF(S90="☑ Completed", "COMPLETED", "NOT STARTED")</f>
        <v/>
      </c>
      <c r="U90" s="9" t="inlineStr">
        <is>
          <t>Review Notes for Day 18</t>
        </is>
      </c>
    </row>
    <row r="91">
      <c r="A91" s="10" t="n">
        <v>18</v>
      </c>
      <c r="B91" s="10" t="inlineStr">
        <is>
          <t>2026-09-17</t>
        </is>
      </c>
      <c r="C91" s="10" t="n">
        <v>3</v>
      </c>
      <c r="D91" s="10" t="n">
        <v>1</v>
      </c>
      <c r="E91" s="9" t="inlineStr">
        <is>
          <t>Month 1</t>
        </is>
      </c>
      <c r="F91" s="9" t="inlineStr">
        <is>
          <t>NumPy</t>
        </is>
      </c>
      <c r="G91" s="9" t="inlineStr">
        <is>
          <t>Arrays</t>
        </is>
      </c>
      <c r="H91" s="9" t="inlineStr">
        <is>
          <t>Random module</t>
        </is>
      </c>
      <c r="I91" s="9" t="inlineStr">
        <is>
          <t>Master Random module</t>
        </is>
      </c>
      <c r="J91" s="9" t="inlineStr">
        <is>
          <t>30 min</t>
        </is>
      </c>
      <c r="K91" s="9" t="inlineStr">
        <is>
          <t>30 min</t>
        </is>
      </c>
      <c r="L91" s="9" t="inlineStr">
        <is>
          <t>Code/Implement Random module</t>
        </is>
      </c>
      <c r="M91" s="9" t="inlineStr">
        <is>
          <t>15 min</t>
        </is>
      </c>
      <c r="N91" s="9" t="inlineStr">
        <is>
          <t>Why is NumPy faster for Random module?</t>
        </is>
      </c>
      <c r="O91" s="9" t="inlineStr">
        <is>
          <t>15 min</t>
        </is>
      </c>
      <c r="P91" s="9" t="inlineStr">
        <is>
          <t>Explain how Random module changes the data structure.</t>
        </is>
      </c>
      <c r="Q91" s="9" t="inlineStr">
        <is>
          <t>Build/Refine code</t>
        </is>
      </c>
      <c r="R91" s="9" t="inlineStr">
        <is>
          <t>-</t>
        </is>
      </c>
      <c r="S91" s="10" t="inlineStr">
        <is>
          <t>☐ Not Started</t>
        </is>
      </c>
      <c r="T91" s="10">
        <f>IF(S91="☑ Completed", "COMPLETED", "NOT STARTED")</f>
        <v/>
      </c>
      <c r="U91" s="9" t="inlineStr">
        <is>
          <t>Review Notes for Day 18</t>
        </is>
      </c>
    </row>
    <row r="92">
      <c r="A92" s="10" t="n">
        <v>19</v>
      </c>
      <c r="B92" s="10" t="inlineStr">
        <is>
          <t>2026-09-18</t>
        </is>
      </c>
      <c r="C92" s="10" t="n">
        <v>3</v>
      </c>
      <c r="D92" s="10" t="n">
        <v>1</v>
      </c>
      <c r="E92" s="9" t="inlineStr">
        <is>
          <t>Month 1</t>
        </is>
      </c>
      <c r="F92" s="9" t="inlineStr">
        <is>
          <t>Pandas</t>
        </is>
      </c>
      <c r="G92" s="9" t="inlineStr">
        <is>
          <t>Basics</t>
        </is>
      </c>
      <c r="H92" s="9" t="inlineStr">
        <is>
          <t>Series</t>
        </is>
      </c>
      <c r="I92" s="9" t="inlineStr">
        <is>
          <t>Master Series</t>
        </is>
      </c>
      <c r="J92" s="9" t="inlineStr">
        <is>
          <t>45 min</t>
        </is>
      </c>
      <c r="K92" s="9" t="inlineStr">
        <is>
          <t>45 min</t>
        </is>
      </c>
      <c r="L92" s="9" t="inlineStr">
        <is>
          <t>Code/Implement Series</t>
        </is>
      </c>
      <c r="M92" s="9" t="inlineStr">
        <is>
          <t>15 min</t>
        </is>
      </c>
      <c r="N92" s="9" t="inlineStr">
        <is>
          <t>How do you perform Series efficiently in Pandas?</t>
        </is>
      </c>
      <c r="O92" s="9" t="inlineStr">
        <is>
          <t>15 min</t>
        </is>
      </c>
      <c r="P92" s="9" t="inlineStr">
        <is>
          <t>Walk me through the process of Series.</t>
        </is>
      </c>
      <c r="Q92" s="9" t="inlineStr">
        <is>
          <t>Build/Refine code</t>
        </is>
      </c>
      <c r="R92" s="9" t="n">
        <v>8</v>
      </c>
      <c r="S92" s="10" t="inlineStr">
        <is>
          <t>☐ Not Started</t>
        </is>
      </c>
      <c r="T92" s="10">
        <f>IF(S92="☑ Completed", "COMPLETED", "NOT STARTED")</f>
        <v/>
      </c>
      <c r="U92" s="9" t="inlineStr">
        <is>
          <t>Review Notes for Day 19</t>
        </is>
      </c>
    </row>
    <row r="93">
      <c r="A93" s="10" t="n">
        <v>19</v>
      </c>
      <c r="B93" s="10" t="inlineStr">
        <is>
          <t>2026-09-18</t>
        </is>
      </c>
      <c r="C93" s="10" t="n">
        <v>3</v>
      </c>
      <c r="D93" s="10" t="n">
        <v>1</v>
      </c>
      <c r="E93" s="9" t="inlineStr">
        <is>
          <t>Month 1</t>
        </is>
      </c>
      <c r="F93" s="9" t="inlineStr">
        <is>
          <t>Pandas</t>
        </is>
      </c>
      <c r="G93" s="9" t="inlineStr">
        <is>
          <t>Basics</t>
        </is>
      </c>
      <c r="H93" s="9" t="inlineStr">
        <is>
          <t>DataFrame</t>
        </is>
      </c>
      <c r="I93" s="9" t="inlineStr">
        <is>
          <t>Master DataFrame</t>
        </is>
      </c>
      <c r="J93" s="9" t="inlineStr">
        <is>
          <t>30 min</t>
        </is>
      </c>
      <c r="K93" s="9" t="inlineStr">
        <is>
          <t>30 min</t>
        </is>
      </c>
      <c r="L93" s="9" t="inlineStr">
        <is>
          <t>Code/Implement DataFrame</t>
        </is>
      </c>
      <c r="M93" s="9" t="inlineStr">
        <is>
          <t>15 min</t>
        </is>
      </c>
      <c r="N93" s="9" t="inlineStr">
        <is>
          <t>How do you perform DataFrame efficiently in Pandas?</t>
        </is>
      </c>
      <c r="O93" s="9" t="inlineStr">
        <is>
          <t>15 min</t>
        </is>
      </c>
      <c r="P93" s="9" t="inlineStr">
        <is>
          <t>Walk me through the process of DataFrame.</t>
        </is>
      </c>
      <c r="Q93" s="9" t="inlineStr">
        <is>
          <t>Build/Refine code</t>
        </is>
      </c>
      <c r="R93" s="9" t="inlineStr">
        <is>
          <t>-</t>
        </is>
      </c>
      <c r="S93" s="10" t="inlineStr">
        <is>
          <t>☐ Not Started</t>
        </is>
      </c>
      <c r="T93" s="10">
        <f>IF(S93="☑ Completed", "COMPLETED", "NOT STARTED")</f>
        <v/>
      </c>
      <c r="U93" s="9" t="inlineStr">
        <is>
          <t>Review Notes for Day 19</t>
        </is>
      </c>
    </row>
    <row r="94">
      <c r="A94" s="10" t="n">
        <v>19</v>
      </c>
      <c r="B94" s="10" t="inlineStr">
        <is>
          <t>2026-09-18</t>
        </is>
      </c>
      <c r="C94" s="10" t="n">
        <v>3</v>
      </c>
      <c r="D94" s="10" t="n">
        <v>1</v>
      </c>
      <c r="E94" s="9" t="inlineStr">
        <is>
          <t>Month 1</t>
        </is>
      </c>
      <c r="F94" s="9" t="inlineStr">
        <is>
          <t>Pandas</t>
        </is>
      </c>
      <c r="G94" s="9" t="inlineStr">
        <is>
          <t>Basics</t>
        </is>
      </c>
      <c r="H94" s="9" t="inlineStr">
        <is>
          <t>Reading CSV</t>
        </is>
      </c>
      <c r="I94" s="9" t="inlineStr">
        <is>
          <t>Master Reading CSV</t>
        </is>
      </c>
      <c r="J94" s="9" t="inlineStr">
        <is>
          <t>30 min</t>
        </is>
      </c>
      <c r="K94" s="9" t="inlineStr">
        <is>
          <t>30 min</t>
        </is>
      </c>
      <c r="L94" s="9" t="inlineStr">
        <is>
          <t>Code/Implement Reading CSV</t>
        </is>
      </c>
      <c r="M94" s="9" t="inlineStr">
        <is>
          <t>15 min</t>
        </is>
      </c>
      <c r="N94" s="9" t="inlineStr">
        <is>
          <t>How do you perform Reading CSV efficiently in Pandas?</t>
        </is>
      </c>
      <c r="O94" s="9" t="inlineStr">
        <is>
          <t>15 min</t>
        </is>
      </c>
      <c r="P94" s="9" t="inlineStr">
        <is>
          <t>Walk me through the process of Reading CSV.</t>
        </is>
      </c>
      <c r="Q94" s="9" t="inlineStr">
        <is>
          <t>Build/Refine code</t>
        </is>
      </c>
      <c r="R94" s="9" t="inlineStr">
        <is>
          <t>-</t>
        </is>
      </c>
      <c r="S94" s="10" t="inlineStr">
        <is>
          <t>☐ Not Started</t>
        </is>
      </c>
      <c r="T94" s="10">
        <f>IF(S94="☑ Completed", "COMPLETED", "NOT STARTED")</f>
        <v/>
      </c>
      <c r="U94" s="9" t="inlineStr">
        <is>
          <t>Review Notes for Day 19</t>
        </is>
      </c>
    </row>
    <row r="95">
      <c r="A95" s="10" t="n">
        <v>19</v>
      </c>
      <c r="B95" s="10" t="inlineStr">
        <is>
          <t>2026-09-18</t>
        </is>
      </c>
      <c r="C95" s="10" t="n">
        <v>3</v>
      </c>
      <c r="D95" s="10" t="n">
        <v>1</v>
      </c>
      <c r="E95" s="9" t="inlineStr">
        <is>
          <t>Month 1</t>
        </is>
      </c>
      <c r="F95" s="9" t="inlineStr">
        <is>
          <t>Pandas</t>
        </is>
      </c>
      <c r="G95" s="9" t="inlineStr">
        <is>
          <t>Basics</t>
        </is>
      </c>
      <c r="H95" s="9" t="inlineStr">
        <is>
          <t>Reading Excel</t>
        </is>
      </c>
      <c r="I95" s="9" t="inlineStr">
        <is>
          <t>Master Reading Excel</t>
        </is>
      </c>
      <c r="J95" s="9" t="inlineStr">
        <is>
          <t>30 min</t>
        </is>
      </c>
      <c r="K95" s="9" t="inlineStr">
        <is>
          <t>30 min</t>
        </is>
      </c>
      <c r="L95" s="9" t="inlineStr">
        <is>
          <t>Code/Implement Reading Excel</t>
        </is>
      </c>
      <c r="M95" s="9" t="inlineStr">
        <is>
          <t>15 min</t>
        </is>
      </c>
      <c r="N95" s="9" t="inlineStr">
        <is>
          <t>How do you perform Reading Excel efficiently in Pandas?</t>
        </is>
      </c>
      <c r="O95" s="9" t="inlineStr">
        <is>
          <t>15 min</t>
        </is>
      </c>
      <c r="P95" s="9" t="inlineStr">
        <is>
          <t>Walk me through the process of Reading Excel.</t>
        </is>
      </c>
      <c r="Q95" s="9" t="inlineStr">
        <is>
          <t>Build/Refine code</t>
        </is>
      </c>
      <c r="R95" s="9" t="inlineStr">
        <is>
          <t>-</t>
        </is>
      </c>
      <c r="S95" s="10" t="inlineStr">
        <is>
          <t>☐ Not Started</t>
        </is>
      </c>
      <c r="T95" s="10">
        <f>IF(S95="☑ Completed", "COMPLETED", "NOT STARTED")</f>
        <v/>
      </c>
      <c r="U95" s="9" t="inlineStr">
        <is>
          <t>Review Notes for Day 19</t>
        </is>
      </c>
    </row>
    <row r="96">
      <c r="A96" s="10" t="n">
        <v>19</v>
      </c>
      <c r="B96" s="10" t="inlineStr">
        <is>
          <t>2026-09-18</t>
        </is>
      </c>
      <c r="C96" s="10" t="n">
        <v>3</v>
      </c>
      <c r="D96" s="10" t="n">
        <v>1</v>
      </c>
      <c r="E96" s="9" t="inlineStr">
        <is>
          <t>Month 1</t>
        </is>
      </c>
      <c r="F96" s="9" t="inlineStr">
        <is>
          <t>Pandas</t>
        </is>
      </c>
      <c r="G96" s="9" t="inlineStr">
        <is>
          <t>Basics</t>
        </is>
      </c>
      <c r="H96" s="9" t="inlineStr">
        <is>
          <t>head</t>
        </is>
      </c>
      <c r="I96" s="9" t="inlineStr">
        <is>
          <t>Master head</t>
        </is>
      </c>
      <c r="J96" s="9" t="inlineStr">
        <is>
          <t>30 min</t>
        </is>
      </c>
      <c r="K96" s="9" t="inlineStr">
        <is>
          <t>30 min</t>
        </is>
      </c>
      <c r="L96" s="9" t="inlineStr">
        <is>
          <t>Code/Implement head</t>
        </is>
      </c>
      <c r="M96" s="9" t="inlineStr">
        <is>
          <t>15 min</t>
        </is>
      </c>
      <c r="N96" s="9" t="inlineStr">
        <is>
          <t>How do you perform head efficiently in Pandas?</t>
        </is>
      </c>
      <c r="O96" s="9" t="inlineStr">
        <is>
          <t>15 min</t>
        </is>
      </c>
      <c r="P96" s="9" t="inlineStr">
        <is>
          <t>Walk me through the process of head.</t>
        </is>
      </c>
      <c r="Q96" s="9" t="inlineStr">
        <is>
          <t>Build/Refine code</t>
        </is>
      </c>
      <c r="R96" s="9" t="inlineStr">
        <is>
          <t>-</t>
        </is>
      </c>
      <c r="S96" s="10" t="inlineStr">
        <is>
          <t>☐ Not Started</t>
        </is>
      </c>
      <c r="T96" s="10">
        <f>IF(S96="☑ Completed", "COMPLETED", "NOT STARTED")</f>
        <v/>
      </c>
      <c r="U96" s="9" t="inlineStr">
        <is>
          <t>Review Notes for Day 19</t>
        </is>
      </c>
    </row>
    <row r="97">
      <c r="A97" s="10" t="n">
        <v>20</v>
      </c>
      <c r="B97" s="10" t="inlineStr">
        <is>
          <t>2026-09-19</t>
        </is>
      </c>
      <c r="C97" s="10" t="n">
        <v>3</v>
      </c>
      <c r="D97" s="10" t="n">
        <v>1</v>
      </c>
      <c r="E97" s="9" t="inlineStr">
        <is>
          <t>Month 1</t>
        </is>
      </c>
      <c r="F97" s="9" t="inlineStr">
        <is>
          <t>Pandas</t>
        </is>
      </c>
      <c r="G97" s="9" t="inlineStr">
        <is>
          <t>Basics</t>
        </is>
      </c>
      <c r="H97" s="9" t="inlineStr">
        <is>
          <t>tail</t>
        </is>
      </c>
      <c r="I97" s="9" t="inlineStr">
        <is>
          <t>Master tail</t>
        </is>
      </c>
      <c r="J97" s="9" t="inlineStr">
        <is>
          <t>45 min</t>
        </is>
      </c>
      <c r="K97" s="9" t="inlineStr">
        <is>
          <t>45 min</t>
        </is>
      </c>
      <c r="L97" s="9" t="inlineStr">
        <is>
          <t>Code/Implement tail</t>
        </is>
      </c>
      <c r="M97" s="9" t="inlineStr">
        <is>
          <t>15 min</t>
        </is>
      </c>
      <c r="N97" s="9" t="inlineStr">
        <is>
          <t>How do you perform tail efficiently in Pandas?</t>
        </is>
      </c>
      <c r="O97" s="9" t="inlineStr">
        <is>
          <t>15 min</t>
        </is>
      </c>
      <c r="P97" s="9" t="inlineStr">
        <is>
          <t>Walk me through the process of tail.</t>
        </is>
      </c>
      <c r="Q97" s="9" t="inlineStr">
        <is>
          <t>Build/Refine code</t>
        </is>
      </c>
      <c r="R97" s="9" t="n">
        <v>8</v>
      </c>
      <c r="S97" s="10" t="inlineStr">
        <is>
          <t>☐ Not Started</t>
        </is>
      </c>
      <c r="T97" s="10">
        <f>IF(S97="☑ Completed", "COMPLETED", "NOT STARTED")</f>
        <v/>
      </c>
      <c r="U97" s="9" t="inlineStr">
        <is>
          <t>Review Notes for Day 20</t>
        </is>
      </c>
    </row>
    <row r="98">
      <c r="A98" s="10" t="n">
        <v>20</v>
      </c>
      <c r="B98" s="10" t="inlineStr">
        <is>
          <t>2026-09-19</t>
        </is>
      </c>
      <c r="C98" s="10" t="n">
        <v>3</v>
      </c>
      <c r="D98" s="10" t="n">
        <v>1</v>
      </c>
      <c r="E98" s="9" t="inlineStr">
        <is>
          <t>Month 1</t>
        </is>
      </c>
      <c r="F98" s="9" t="inlineStr">
        <is>
          <t>Pandas</t>
        </is>
      </c>
      <c r="G98" s="9" t="inlineStr">
        <is>
          <t>Basics</t>
        </is>
      </c>
      <c r="H98" s="9" t="inlineStr">
        <is>
          <t>info</t>
        </is>
      </c>
      <c r="I98" s="9" t="inlineStr">
        <is>
          <t>Master info</t>
        </is>
      </c>
      <c r="J98" s="9" t="inlineStr">
        <is>
          <t>30 min</t>
        </is>
      </c>
      <c r="K98" s="9" t="inlineStr">
        <is>
          <t>30 min</t>
        </is>
      </c>
      <c r="L98" s="9" t="inlineStr">
        <is>
          <t>Code/Implement info</t>
        </is>
      </c>
      <c r="M98" s="9" t="inlineStr">
        <is>
          <t>15 min</t>
        </is>
      </c>
      <c r="N98" s="9" t="inlineStr">
        <is>
          <t>How do you perform info efficiently in Pandas?</t>
        </is>
      </c>
      <c r="O98" s="9" t="inlineStr">
        <is>
          <t>15 min</t>
        </is>
      </c>
      <c r="P98" s="9" t="inlineStr">
        <is>
          <t>Walk me through the process of info.</t>
        </is>
      </c>
      <c r="Q98" s="9" t="inlineStr">
        <is>
          <t>Build/Refine code</t>
        </is>
      </c>
      <c r="R98" s="9" t="inlineStr">
        <is>
          <t>-</t>
        </is>
      </c>
      <c r="S98" s="10" t="inlineStr">
        <is>
          <t>☐ Not Started</t>
        </is>
      </c>
      <c r="T98" s="10">
        <f>IF(S98="☑ Completed", "COMPLETED", "NOT STARTED")</f>
        <v/>
      </c>
      <c r="U98" s="9" t="inlineStr">
        <is>
          <t>Review Notes for Day 20</t>
        </is>
      </c>
    </row>
    <row r="99">
      <c r="A99" s="10" t="n">
        <v>20</v>
      </c>
      <c r="B99" s="10" t="inlineStr">
        <is>
          <t>2026-09-19</t>
        </is>
      </c>
      <c r="C99" s="10" t="n">
        <v>3</v>
      </c>
      <c r="D99" s="10" t="n">
        <v>1</v>
      </c>
      <c r="E99" s="9" t="inlineStr">
        <is>
          <t>Month 1</t>
        </is>
      </c>
      <c r="F99" s="9" t="inlineStr">
        <is>
          <t>Pandas</t>
        </is>
      </c>
      <c r="G99" s="9" t="inlineStr">
        <is>
          <t>Basics</t>
        </is>
      </c>
      <c r="H99" s="9" t="inlineStr">
        <is>
          <t>describe</t>
        </is>
      </c>
      <c r="I99" s="9" t="inlineStr">
        <is>
          <t>Master describe</t>
        </is>
      </c>
      <c r="J99" s="9" t="inlineStr">
        <is>
          <t>30 min</t>
        </is>
      </c>
      <c r="K99" s="9" t="inlineStr">
        <is>
          <t>30 min</t>
        </is>
      </c>
      <c r="L99" s="9" t="inlineStr">
        <is>
          <t>Code/Implement describe</t>
        </is>
      </c>
      <c r="M99" s="9" t="inlineStr">
        <is>
          <t>15 min</t>
        </is>
      </c>
      <c r="N99" s="9" t="inlineStr">
        <is>
          <t>How do you perform describe efficiently in Pandas?</t>
        </is>
      </c>
      <c r="O99" s="9" t="inlineStr">
        <is>
          <t>15 min</t>
        </is>
      </c>
      <c r="P99" s="9" t="inlineStr">
        <is>
          <t>Walk me through the process of describe.</t>
        </is>
      </c>
      <c r="Q99" s="9" t="inlineStr">
        <is>
          <t>Build/Refine code</t>
        </is>
      </c>
      <c r="R99" s="9" t="inlineStr">
        <is>
          <t>-</t>
        </is>
      </c>
      <c r="S99" s="10" t="inlineStr">
        <is>
          <t>☐ Not Started</t>
        </is>
      </c>
      <c r="T99" s="10">
        <f>IF(S99="☑ Completed", "COMPLETED", "NOT STARTED")</f>
        <v/>
      </c>
      <c r="U99" s="9" t="inlineStr">
        <is>
          <t>Review Notes for Day 20</t>
        </is>
      </c>
    </row>
    <row r="100">
      <c r="A100" s="10" t="n">
        <v>20</v>
      </c>
      <c r="B100" s="10" t="inlineStr">
        <is>
          <t>2026-09-19</t>
        </is>
      </c>
      <c r="C100" s="10" t="n">
        <v>3</v>
      </c>
      <c r="D100" s="10" t="n">
        <v>1</v>
      </c>
      <c r="E100" s="9" t="inlineStr">
        <is>
          <t>Month 1</t>
        </is>
      </c>
      <c r="F100" s="9" t="inlineStr">
        <is>
          <t>Pandas</t>
        </is>
      </c>
      <c r="G100" s="9" t="inlineStr">
        <is>
          <t>Basics</t>
        </is>
      </c>
      <c r="H100" s="9" t="inlineStr">
        <is>
          <t>Selecting columns</t>
        </is>
      </c>
      <c r="I100" s="9" t="inlineStr">
        <is>
          <t>Master Selecting columns</t>
        </is>
      </c>
      <c r="J100" s="9" t="inlineStr">
        <is>
          <t>30 min</t>
        </is>
      </c>
      <c r="K100" s="9" t="inlineStr">
        <is>
          <t>30 min</t>
        </is>
      </c>
      <c r="L100" s="9" t="inlineStr">
        <is>
          <t>Code/Implement Selecting columns</t>
        </is>
      </c>
      <c r="M100" s="9" t="inlineStr">
        <is>
          <t>15 min</t>
        </is>
      </c>
      <c r="N100" s="9" t="inlineStr">
        <is>
          <t>How do you perform Selecting columns efficiently in Pandas?</t>
        </is>
      </c>
      <c r="O100" s="9" t="inlineStr">
        <is>
          <t>15 min</t>
        </is>
      </c>
      <c r="P100" s="9" t="inlineStr">
        <is>
          <t>Walk me through the process of Selecting columns.</t>
        </is>
      </c>
      <c r="Q100" s="9" t="inlineStr">
        <is>
          <t>Build/Refine code</t>
        </is>
      </c>
      <c r="R100" s="9" t="inlineStr">
        <is>
          <t>-</t>
        </is>
      </c>
      <c r="S100" s="10" t="inlineStr">
        <is>
          <t>☐ Not Started</t>
        </is>
      </c>
      <c r="T100" s="10">
        <f>IF(S100="☑ Completed", "COMPLETED", "NOT STARTED")</f>
        <v/>
      </c>
      <c r="U100" s="9" t="inlineStr">
        <is>
          <t>Review Notes for Day 20</t>
        </is>
      </c>
    </row>
    <row r="101">
      <c r="A101" s="10" t="n">
        <v>20</v>
      </c>
      <c r="B101" s="10" t="inlineStr">
        <is>
          <t>2026-09-19</t>
        </is>
      </c>
      <c r="C101" s="10" t="n">
        <v>3</v>
      </c>
      <c r="D101" s="10" t="n">
        <v>1</v>
      </c>
      <c r="E101" s="9" t="inlineStr">
        <is>
          <t>Month 1</t>
        </is>
      </c>
      <c r="F101" s="9" t="inlineStr">
        <is>
          <t>Pandas</t>
        </is>
      </c>
      <c r="G101" s="9" t="inlineStr">
        <is>
          <t>Basics</t>
        </is>
      </c>
      <c r="H101" s="9" t="inlineStr">
        <is>
          <t>Filtering</t>
        </is>
      </c>
      <c r="I101" s="9" t="inlineStr">
        <is>
          <t>Master Filtering</t>
        </is>
      </c>
      <c r="J101" s="9" t="inlineStr">
        <is>
          <t>30 min</t>
        </is>
      </c>
      <c r="K101" s="9" t="inlineStr">
        <is>
          <t>30 min</t>
        </is>
      </c>
      <c r="L101" s="9" t="inlineStr">
        <is>
          <t>Code/Implement Filtering</t>
        </is>
      </c>
      <c r="M101" s="9" t="inlineStr">
        <is>
          <t>15 min</t>
        </is>
      </c>
      <c r="N101" s="9" t="inlineStr">
        <is>
          <t>How do you perform Filtering efficiently in Pandas?</t>
        </is>
      </c>
      <c r="O101" s="9" t="inlineStr">
        <is>
          <t>15 min</t>
        </is>
      </c>
      <c r="P101" s="9" t="inlineStr">
        <is>
          <t>Walk me through the process of Filtering.</t>
        </is>
      </c>
      <c r="Q101" s="9" t="inlineStr">
        <is>
          <t>Build/Refine code</t>
        </is>
      </c>
      <c r="R101" s="9" t="inlineStr">
        <is>
          <t>-</t>
        </is>
      </c>
      <c r="S101" s="10" t="inlineStr">
        <is>
          <t>☐ Not Started</t>
        </is>
      </c>
      <c r="T101" s="10">
        <f>IF(S101="☑ Completed", "COMPLETED", "NOT STARTED")</f>
        <v/>
      </c>
      <c r="U101" s="9" t="inlineStr">
        <is>
          <t>Review Notes for Day 20</t>
        </is>
      </c>
    </row>
    <row r="102">
      <c r="A102" s="10" t="n">
        <v>21</v>
      </c>
      <c r="B102" s="10" t="inlineStr">
        <is>
          <t>2026-09-20</t>
        </is>
      </c>
      <c r="C102" s="10" t="n">
        <v>3</v>
      </c>
      <c r="D102" s="10" t="n">
        <v>1</v>
      </c>
      <c r="E102" s="9" t="inlineStr">
        <is>
          <t>Month 1</t>
        </is>
      </c>
      <c r="F102" s="9" t="inlineStr">
        <is>
          <t>Pandas</t>
        </is>
      </c>
      <c r="G102" s="9" t="inlineStr">
        <is>
          <t>Basics</t>
        </is>
      </c>
      <c r="H102" s="9" t="inlineStr">
        <is>
          <t>Sorting</t>
        </is>
      </c>
      <c r="I102" s="9" t="inlineStr">
        <is>
          <t>Master Sorting</t>
        </is>
      </c>
      <c r="J102" s="9" t="inlineStr">
        <is>
          <t>45 min</t>
        </is>
      </c>
      <c r="K102" s="9" t="inlineStr">
        <is>
          <t>45 min</t>
        </is>
      </c>
      <c r="L102" s="9" t="inlineStr">
        <is>
          <t>Code/Implement Sorting</t>
        </is>
      </c>
      <c r="M102" s="9" t="inlineStr">
        <is>
          <t>15 min</t>
        </is>
      </c>
      <c r="N102" s="9" t="inlineStr">
        <is>
          <t>How do you perform Sorting efficiently in Pandas?</t>
        </is>
      </c>
      <c r="O102" s="9" t="inlineStr">
        <is>
          <t>15 min</t>
        </is>
      </c>
      <c r="P102" s="9" t="inlineStr">
        <is>
          <t>Walk me through the process of Sorting.</t>
        </is>
      </c>
      <c r="Q102" s="9" t="inlineStr">
        <is>
          <t>Build/Refine code</t>
        </is>
      </c>
      <c r="R102" s="9" t="n">
        <v>8</v>
      </c>
      <c r="S102" s="10" t="inlineStr">
        <is>
          <t>☐ Not Started</t>
        </is>
      </c>
      <c r="T102" s="10">
        <f>IF(S102="☑ Completed", "COMPLETED", "NOT STARTED")</f>
        <v/>
      </c>
      <c r="U102" s="9" t="inlineStr">
        <is>
          <t>Review Notes for Day 21</t>
        </is>
      </c>
    </row>
    <row r="103">
      <c r="A103" s="10" t="n">
        <v>21</v>
      </c>
      <c r="B103" s="10" t="inlineStr">
        <is>
          <t>2026-09-20</t>
        </is>
      </c>
      <c r="C103" s="10" t="n">
        <v>3</v>
      </c>
      <c r="D103" s="10" t="n">
        <v>1</v>
      </c>
      <c r="E103" s="9" t="inlineStr">
        <is>
          <t>Month 1</t>
        </is>
      </c>
      <c r="F103" s="9" t="inlineStr">
        <is>
          <t>Pandas</t>
        </is>
      </c>
      <c r="G103" s="9" t="inlineStr">
        <is>
          <t>Advanced</t>
        </is>
      </c>
      <c r="H103" s="9" t="inlineStr">
        <is>
          <t>Missing values</t>
        </is>
      </c>
      <c r="I103" s="9" t="inlineStr">
        <is>
          <t>Master Missing values</t>
        </is>
      </c>
      <c r="J103" s="9" t="inlineStr">
        <is>
          <t>30 min</t>
        </is>
      </c>
      <c r="K103" s="9" t="inlineStr">
        <is>
          <t>30 min</t>
        </is>
      </c>
      <c r="L103" s="9" t="inlineStr">
        <is>
          <t>Code/Implement Missing values</t>
        </is>
      </c>
      <c r="M103" s="9" t="inlineStr">
        <is>
          <t>15 min</t>
        </is>
      </c>
      <c r="N103" s="9" t="inlineStr">
        <is>
          <t>What is your approach to handling Missing values?</t>
        </is>
      </c>
      <c r="O103" s="9" t="inlineStr">
        <is>
          <t>15 min</t>
        </is>
      </c>
      <c r="P103" s="9" t="inlineStr">
        <is>
          <t>Present your findings after Missing values.</t>
        </is>
      </c>
      <c r="Q103" s="9" t="inlineStr">
        <is>
          <t>Build/Refine code</t>
        </is>
      </c>
      <c r="R103" s="9" t="inlineStr">
        <is>
          <t>-</t>
        </is>
      </c>
      <c r="S103" s="10" t="inlineStr">
        <is>
          <t>☐ Not Started</t>
        </is>
      </c>
      <c r="T103" s="10">
        <f>IF(S103="☑ Completed", "COMPLETED", "NOT STARTED")</f>
        <v/>
      </c>
      <c r="U103" s="9" t="inlineStr">
        <is>
          <t>Review Notes for Day 21</t>
        </is>
      </c>
    </row>
    <row r="104">
      <c r="A104" s="10" t="n">
        <v>21</v>
      </c>
      <c r="B104" s="10" t="inlineStr">
        <is>
          <t>2026-09-20</t>
        </is>
      </c>
      <c r="C104" s="10" t="n">
        <v>3</v>
      </c>
      <c r="D104" s="10" t="n">
        <v>1</v>
      </c>
      <c r="E104" s="9" t="inlineStr">
        <is>
          <t>Month 1</t>
        </is>
      </c>
      <c r="F104" s="9" t="inlineStr">
        <is>
          <t>Pandas</t>
        </is>
      </c>
      <c r="G104" s="9" t="inlineStr">
        <is>
          <t>Advanced</t>
        </is>
      </c>
      <c r="H104" s="9" t="inlineStr">
        <is>
          <t>fillna</t>
        </is>
      </c>
      <c r="I104" s="9" t="inlineStr">
        <is>
          <t>Master fillna</t>
        </is>
      </c>
      <c r="J104" s="9" t="inlineStr">
        <is>
          <t>30 min</t>
        </is>
      </c>
      <c r="K104" s="9" t="inlineStr">
        <is>
          <t>30 min</t>
        </is>
      </c>
      <c r="L104" s="9" t="inlineStr">
        <is>
          <t>Code/Implement fillna</t>
        </is>
      </c>
      <c r="M104" s="9" t="inlineStr">
        <is>
          <t>15 min</t>
        </is>
      </c>
      <c r="N104" s="9" t="inlineStr">
        <is>
          <t>What is your approach to handling fillna?</t>
        </is>
      </c>
      <c r="O104" s="9" t="inlineStr">
        <is>
          <t>15 min</t>
        </is>
      </c>
      <c r="P104" s="9" t="inlineStr">
        <is>
          <t>Present your findings after fillna.</t>
        </is>
      </c>
      <c r="Q104" s="9" t="inlineStr">
        <is>
          <t>Build/Refine code</t>
        </is>
      </c>
      <c r="R104" s="9" t="inlineStr">
        <is>
          <t>-</t>
        </is>
      </c>
      <c r="S104" s="10" t="inlineStr">
        <is>
          <t>☐ Not Started</t>
        </is>
      </c>
      <c r="T104" s="10">
        <f>IF(S104="☑ Completed", "COMPLETED", "NOT STARTED")</f>
        <v/>
      </c>
      <c r="U104" s="9" t="inlineStr">
        <is>
          <t>Review Notes for Day 21</t>
        </is>
      </c>
    </row>
    <row r="105">
      <c r="A105" s="10" t="n">
        <v>21</v>
      </c>
      <c r="B105" s="10" t="inlineStr">
        <is>
          <t>2026-09-20</t>
        </is>
      </c>
      <c r="C105" s="10" t="n">
        <v>3</v>
      </c>
      <c r="D105" s="10" t="n">
        <v>1</v>
      </c>
      <c r="E105" s="9" t="inlineStr">
        <is>
          <t>Month 1</t>
        </is>
      </c>
      <c r="F105" s="9" t="inlineStr">
        <is>
          <t>Pandas</t>
        </is>
      </c>
      <c r="G105" s="9" t="inlineStr">
        <is>
          <t>Advanced</t>
        </is>
      </c>
      <c r="H105" s="9" t="inlineStr">
        <is>
          <t>dropna</t>
        </is>
      </c>
      <c r="I105" s="9" t="inlineStr">
        <is>
          <t>Master dropna</t>
        </is>
      </c>
      <c r="J105" s="9" t="inlineStr">
        <is>
          <t>30 min</t>
        </is>
      </c>
      <c r="K105" s="9" t="inlineStr">
        <is>
          <t>30 min</t>
        </is>
      </c>
      <c r="L105" s="9" t="inlineStr">
        <is>
          <t>Code/Implement dropna</t>
        </is>
      </c>
      <c r="M105" s="9" t="inlineStr">
        <is>
          <t>15 min</t>
        </is>
      </c>
      <c r="N105" s="9" t="inlineStr">
        <is>
          <t>What is your approach to handling dropna?</t>
        </is>
      </c>
      <c r="O105" s="9" t="inlineStr">
        <is>
          <t>15 min</t>
        </is>
      </c>
      <c r="P105" s="9" t="inlineStr">
        <is>
          <t>Present your findings after dropna.</t>
        </is>
      </c>
      <c r="Q105" s="9" t="inlineStr">
        <is>
          <t>Build/Refine code</t>
        </is>
      </c>
      <c r="R105" s="9" t="inlineStr">
        <is>
          <t>-</t>
        </is>
      </c>
      <c r="S105" s="10" t="inlineStr">
        <is>
          <t>☐ Not Started</t>
        </is>
      </c>
      <c r="T105" s="10">
        <f>IF(S105="☑ Completed", "COMPLETED", "NOT STARTED")</f>
        <v/>
      </c>
      <c r="U105" s="9" t="inlineStr">
        <is>
          <t>Review Notes for Day 21</t>
        </is>
      </c>
    </row>
    <row r="106">
      <c r="A106" s="10" t="n">
        <v>21</v>
      </c>
      <c r="B106" s="10" t="inlineStr">
        <is>
          <t>2026-09-20</t>
        </is>
      </c>
      <c r="C106" s="10" t="n">
        <v>3</v>
      </c>
      <c r="D106" s="10" t="n">
        <v>1</v>
      </c>
      <c r="E106" s="9" t="inlineStr">
        <is>
          <t>Month 1</t>
        </is>
      </c>
      <c r="F106" s="9" t="inlineStr">
        <is>
          <t>Pandas</t>
        </is>
      </c>
      <c r="G106" s="9" t="inlineStr">
        <is>
          <t>Advanced</t>
        </is>
      </c>
      <c r="H106" s="9" t="inlineStr">
        <is>
          <t>Duplicates</t>
        </is>
      </c>
      <c r="I106" s="9" t="inlineStr">
        <is>
          <t>Master Duplicates</t>
        </is>
      </c>
      <c r="J106" s="9" t="inlineStr">
        <is>
          <t>30 min</t>
        </is>
      </c>
      <c r="K106" s="9" t="inlineStr">
        <is>
          <t>30 min</t>
        </is>
      </c>
      <c r="L106" s="9" t="inlineStr">
        <is>
          <t>Code/Implement Duplicates</t>
        </is>
      </c>
      <c r="M106" s="9" t="inlineStr">
        <is>
          <t>15 min</t>
        </is>
      </c>
      <c r="N106" s="9" t="inlineStr">
        <is>
          <t>What is your approach to handling Duplicates?</t>
        </is>
      </c>
      <c r="O106" s="9" t="inlineStr">
        <is>
          <t>15 min</t>
        </is>
      </c>
      <c r="P106" s="9" t="inlineStr">
        <is>
          <t>Present your findings after Duplicates.</t>
        </is>
      </c>
      <c r="Q106" s="9" t="inlineStr">
        <is>
          <t>Build/Refine code</t>
        </is>
      </c>
      <c r="R106" s="9" t="inlineStr">
        <is>
          <t>-</t>
        </is>
      </c>
      <c r="S106" s="10" t="inlineStr">
        <is>
          <t>☐ Not Started</t>
        </is>
      </c>
      <c r="T106" s="10">
        <f>IF(S106="☑ Completed", "COMPLETED", "NOT STARTED")</f>
        <v/>
      </c>
      <c r="U106" s="9" t="inlineStr">
        <is>
          <t>Review Notes for Day 21</t>
        </is>
      </c>
    </row>
    <row r="107">
      <c r="A107" s="10" t="n">
        <v>22</v>
      </c>
      <c r="B107" s="10" t="inlineStr">
        <is>
          <t>2026-09-21</t>
        </is>
      </c>
      <c r="C107" s="10" t="n">
        <v>4</v>
      </c>
      <c r="D107" s="10" t="n">
        <v>1</v>
      </c>
      <c r="E107" s="9" t="inlineStr">
        <is>
          <t>Month 1</t>
        </is>
      </c>
      <c r="F107" s="9" t="inlineStr">
        <is>
          <t>Pandas</t>
        </is>
      </c>
      <c r="G107" s="9" t="inlineStr">
        <is>
          <t>Advanced</t>
        </is>
      </c>
      <c r="H107" s="9" t="inlineStr">
        <is>
          <t>GroupBy</t>
        </is>
      </c>
      <c r="I107" s="9" t="inlineStr">
        <is>
          <t>Master GroupBy</t>
        </is>
      </c>
      <c r="J107" s="9" t="inlineStr">
        <is>
          <t>45 min</t>
        </is>
      </c>
      <c r="K107" s="9" t="inlineStr">
        <is>
          <t>45 min</t>
        </is>
      </c>
      <c r="L107" s="9" t="inlineStr">
        <is>
          <t>Code/Implement GroupBy</t>
        </is>
      </c>
      <c r="M107" s="9" t="inlineStr">
        <is>
          <t>15 min</t>
        </is>
      </c>
      <c r="N107" s="9" t="inlineStr">
        <is>
          <t>What is your approach to handling GroupBy?</t>
        </is>
      </c>
      <c r="O107" s="9" t="inlineStr">
        <is>
          <t>15 min</t>
        </is>
      </c>
      <c r="P107" s="9" t="inlineStr">
        <is>
          <t>Present your findings after GroupBy.</t>
        </is>
      </c>
      <c r="Q107" s="9" t="inlineStr">
        <is>
          <t>Build/Refine code</t>
        </is>
      </c>
      <c r="R107" s="9" t="n">
        <v>8</v>
      </c>
      <c r="S107" s="10" t="inlineStr">
        <is>
          <t>☐ Not Started</t>
        </is>
      </c>
      <c r="T107" s="10">
        <f>IF(S107="☑ Completed", "COMPLETED", "NOT STARTED")</f>
        <v/>
      </c>
      <c r="U107" s="9" t="inlineStr">
        <is>
          <t>Review Notes for Day 22</t>
        </is>
      </c>
    </row>
    <row r="108">
      <c r="A108" s="10" t="n">
        <v>22</v>
      </c>
      <c r="B108" s="10" t="inlineStr">
        <is>
          <t>2026-09-21</t>
        </is>
      </c>
      <c r="C108" s="10" t="n">
        <v>4</v>
      </c>
      <c r="D108" s="10" t="n">
        <v>1</v>
      </c>
      <c r="E108" s="9" t="inlineStr">
        <is>
          <t>Month 1</t>
        </is>
      </c>
      <c r="F108" s="9" t="inlineStr">
        <is>
          <t>Pandas</t>
        </is>
      </c>
      <c r="G108" s="9" t="inlineStr">
        <is>
          <t>Advanced</t>
        </is>
      </c>
      <c r="H108" s="9" t="inlineStr">
        <is>
          <t>Aggregation</t>
        </is>
      </c>
      <c r="I108" s="9" t="inlineStr">
        <is>
          <t>Master Aggregation</t>
        </is>
      </c>
      <c r="J108" s="9" t="inlineStr">
        <is>
          <t>30 min</t>
        </is>
      </c>
      <c r="K108" s="9" t="inlineStr">
        <is>
          <t>30 min</t>
        </is>
      </c>
      <c r="L108" s="9" t="inlineStr">
        <is>
          <t>Code/Implement Aggregation</t>
        </is>
      </c>
      <c r="M108" s="9" t="inlineStr">
        <is>
          <t>15 min</t>
        </is>
      </c>
      <c r="N108" s="9" t="inlineStr">
        <is>
          <t>What is your approach to handling Aggregation?</t>
        </is>
      </c>
      <c r="O108" s="9" t="inlineStr">
        <is>
          <t>15 min</t>
        </is>
      </c>
      <c r="P108" s="9" t="inlineStr">
        <is>
          <t>Present your findings after Aggregation.</t>
        </is>
      </c>
      <c r="Q108" s="9" t="inlineStr">
        <is>
          <t>Build/Refine code</t>
        </is>
      </c>
      <c r="R108" s="9" t="inlineStr">
        <is>
          <t>-</t>
        </is>
      </c>
      <c r="S108" s="10" t="inlineStr">
        <is>
          <t>☐ Not Started</t>
        </is>
      </c>
      <c r="T108" s="10">
        <f>IF(S108="☑ Completed", "COMPLETED", "NOT STARTED")</f>
        <v/>
      </c>
      <c r="U108" s="9" t="inlineStr">
        <is>
          <t>Review Notes for Day 22</t>
        </is>
      </c>
    </row>
    <row r="109">
      <c r="A109" s="10" t="n">
        <v>22</v>
      </c>
      <c r="B109" s="10" t="inlineStr">
        <is>
          <t>2026-09-21</t>
        </is>
      </c>
      <c r="C109" s="10" t="n">
        <v>4</v>
      </c>
      <c r="D109" s="10" t="n">
        <v>1</v>
      </c>
      <c r="E109" s="9" t="inlineStr">
        <is>
          <t>Month 1</t>
        </is>
      </c>
      <c r="F109" s="9" t="inlineStr">
        <is>
          <t>Pandas</t>
        </is>
      </c>
      <c r="G109" s="9" t="inlineStr">
        <is>
          <t>Advanced</t>
        </is>
      </c>
      <c r="H109" s="9" t="inlineStr">
        <is>
          <t>Merge</t>
        </is>
      </c>
      <c r="I109" s="9" t="inlineStr">
        <is>
          <t>Master Merge</t>
        </is>
      </c>
      <c r="J109" s="9" t="inlineStr">
        <is>
          <t>30 min</t>
        </is>
      </c>
      <c r="K109" s="9" t="inlineStr">
        <is>
          <t>30 min</t>
        </is>
      </c>
      <c r="L109" s="9" t="inlineStr">
        <is>
          <t>Code/Implement Merge</t>
        </is>
      </c>
      <c r="M109" s="9" t="inlineStr">
        <is>
          <t>15 min</t>
        </is>
      </c>
      <c r="N109" s="9" t="inlineStr">
        <is>
          <t>What is your approach to handling Merge?</t>
        </is>
      </c>
      <c r="O109" s="9" t="inlineStr">
        <is>
          <t>15 min</t>
        </is>
      </c>
      <c r="P109" s="9" t="inlineStr">
        <is>
          <t>Present your findings after Merge.</t>
        </is>
      </c>
      <c r="Q109" s="9" t="inlineStr">
        <is>
          <t>Build/Refine code</t>
        </is>
      </c>
      <c r="R109" s="9" t="inlineStr">
        <is>
          <t>-</t>
        </is>
      </c>
      <c r="S109" s="10" t="inlineStr">
        <is>
          <t>☐ Not Started</t>
        </is>
      </c>
      <c r="T109" s="10">
        <f>IF(S109="☑ Completed", "COMPLETED", "NOT STARTED")</f>
        <v/>
      </c>
      <c r="U109" s="9" t="inlineStr">
        <is>
          <t>Review Notes for Day 22</t>
        </is>
      </c>
    </row>
    <row r="110">
      <c r="A110" s="10" t="n">
        <v>22</v>
      </c>
      <c r="B110" s="10" t="inlineStr">
        <is>
          <t>2026-09-21</t>
        </is>
      </c>
      <c r="C110" s="10" t="n">
        <v>4</v>
      </c>
      <c r="D110" s="10" t="n">
        <v>1</v>
      </c>
      <c r="E110" s="9" t="inlineStr">
        <is>
          <t>Month 1</t>
        </is>
      </c>
      <c r="F110" s="9" t="inlineStr">
        <is>
          <t>Pandas</t>
        </is>
      </c>
      <c r="G110" s="9" t="inlineStr">
        <is>
          <t>Advanced</t>
        </is>
      </c>
      <c r="H110" s="9" t="inlineStr">
        <is>
          <t>Join</t>
        </is>
      </c>
      <c r="I110" s="9" t="inlineStr">
        <is>
          <t>Master Join</t>
        </is>
      </c>
      <c r="J110" s="9" t="inlineStr">
        <is>
          <t>30 min</t>
        </is>
      </c>
      <c r="K110" s="9" t="inlineStr">
        <is>
          <t>30 min</t>
        </is>
      </c>
      <c r="L110" s="9" t="inlineStr">
        <is>
          <t>Code/Implement Join</t>
        </is>
      </c>
      <c r="M110" s="9" t="inlineStr">
        <is>
          <t>15 min</t>
        </is>
      </c>
      <c r="N110" s="9" t="inlineStr">
        <is>
          <t>What is your approach to handling Join?</t>
        </is>
      </c>
      <c r="O110" s="9" t="inlineStr">
        <is>
          <t>15 min</t>
        </is>
      </c>
      <c r="P110" s="9" t="inlineStr">
        <is>
          <t>Present your findings after Join.</t>
        </is>
      </c>
      <c r="Q110" s="9" t="inlineStr">
        <is>
          <t>Build/Refine code</t>
        </is>
      </c>
      <c r="R110" s="9" t="inlineStr">
        <is>
          <t>-</t>
        </is>
      </c>
      <c r="S110" s="10" t="inlineStr">
        <is>
          <t>☐ Not Started</t>
        </is>
      </c>
      <c r="T110" s="10">
        <f>IF(S110="☑ Completed", "COMPLETED", "NOT STARTED")</f>
        <v/>
      </c>
      <c r="U110" s="9" t="inlineStr">
        <is>
          <t>Review Notes for Day 22</t>
        </is>
      </c>
    </row>
    <row r="111">
      <c r="A111" s="10" t="n">
        <v>22</v>
      </c>
      <c r="B111" s="10" t="inlineStr">
        <is>
          <t>2026-09-21</t>
        </is>
      </c>
      <c r="C111" s="10" t="n">
        <v>4</v>
      </c>
      <c r="D111" s="10" t="n">
        <v>1</v>
      </c>
      <c r="E111" s="9" t="inlineStr">
        <is>
          <t>Month 1</t>
        </is>
      </c>
      <c r="F111" s="9" t="inlineStr">
        <is>
          <t>Pandas</t>
        </is>
      </c>
      <c r="G111" s="9" t="inlineStr">
        <is>
          <t>Advanced</t>
        </is>
      </c>
      <c r="H111" s="9" t="inlineStr">
        <is>
          <t>Concat</t>
        </is>
      </c>
      <c r="I111" s="9" t="inlineStr">
        <is>
          <t>Master Concat</t>
        </is>
      </c>
      <c r="J111" s="9" t="inlineStr">
        <is>
          <t>30 min</t>
        </is>
      </c>
      <c r="K111" s="9" t="inlineStr">
        <is>
          <t>30 min</t>
        </is>
      </c>
      <c r="L111" s="9" t="inlineStr">
        <is>
          <t>Code/Implement Concat</t>
        </is>
      </c>
      <c r="M111" s="9" t="inlineStr">
        <is>
          <t>15 min</t>
        </is>
      </c>
      <c r="N111" s="9" t="inlineStr">
        <is>
          <t>What is your approach to handling Concat?</t>
        </is>
      </c>
      <c r="O111" s="9" t="inlineStr">
        <is>
          <t>15 min</t>
        </is>
      </c>
      <c r="P111" s="9" t="inlineStr">
        <is>
          <t>Present your findings after Concat.</t>
        </is>
      </c>
      <c r="Q111" s="9" t="inlineStr">
        <is>
          <t>Build/Refine code</t>
        </is>
      </c>
      <c r="R111" s="9" t="inlineStr">
        <is>
          <t>-</t>
        </is>
      </c>
      <c r="S111" s="10" t="inlineStr">
        <is>
          <t>☐ Not Started</t>
        </is>
      </c>
      <c r="T111" s="10">
        <f>IF(S111="☑ Completed", "COMPLETED", "NOT STARTED")</f>
        <v/>
      </c>
      <c r="U111" s="9" t="inlineStr">
        <is>
          <t>Review Notes for Day 22</t>
        </is>
      </c>
    </row>
    <row r="112">
      <c r="A112" s="10" t="n">
        <v>23</v>
      </c>
      <c r="B112" s="10" t="inlineStr">
        <is>
          <t>2026-09-22</t>
        </is>
      </c>
      <c r="C112" s="10" t="n">
        <v>4</v>
      </c>
      <c r="D112" s="10" t="n">
        <v>1</v>
      </c>
      <c r="E112" s="9" t="inlineStr">
        <is>
          <t>Month 1</t>
        </is>
      </c>
      <c r="F112" s="9" t="inlineStr">
        <is>
          <t>Pandas</t>
        </is>
      </c>
      <c r="G112" s="9" t="inlineStr">
        <is>
          <t>Advanced</t>
        </is>
      </c>
      <c r="H112" s="9" t="inlineStr">
        <is>
          <t>Data cleaning</t>
        </is>
      </c>
      <c r="I112" s="9" t="inlineStr">
        <is>
          <t>Master Data cleaning</t>
        </is>
      </c>
      <c r="J112" s="9" t="inlineStr">
        <is>
          <t>45 min</t>
        </is>
      </c>
      <c r="K112" s="9" t="inlineStr">
        <is>
          <t>45 min</t>
        </is>
      </c>
      <c r="L112" s="9" t="inlineStr">
        <is>
          <t>Code/Implement Data cleaning</t>
        </is>
      </c>
      <c r="M112" s="9" t="inlineStr">
        <is>
          <t>15 min</t>
        </is>
      </c>
      <c r="N112" s="9" t="inlineStr">
        <is>
          <t>What is your approach to handling Data cleaning?</t>
        </is>
      </c>
      <c r="O112" s="9" t="inlineStr">
        <is>
          <t>15 min</t>
        </is>
      </c>
      <c r="P112" s="9" t="inlineStr">
        <is>
          <t>Present your findings after Data cleaning.</t>
        </is>
      </c>
      <c r="Q112" s="9" t="inlineStr">
        <is>
          <t>Build/Refine code</t>
        </is>
      </c>
      <c r="R112" s="9" t="n">
        <v>8</v>
      </c>
      <c r="S112" s="10" t="inlineStr">
        <is>
          <t>☐ Not Started</t>
        </is>
      </c>
      <c r="T112" s="10">
        <f>IF(S112="☑ Completed", "COMPLETED", "NOT STARTED")</f>
        <v/>
      </c>
      <c r="U112" s="9" t="inlineStr">
        <is>
          <t>Review Notes for Day 23</t>
        </is>
      </c>
    </row>
    <row r="113">
      <c r="A113" s="10" t="n">
        <v>23</v>
      </c>
      <c r="B113" s="10" t="inlineStr">
        <is>
          <t>2026-09-22</t>
        </is>
      </c>
      <c r="C113" s="10" t="n">
        <v>4</v>
      </c>
      <c r="D113" s="10" t="n">
        <v>1</v>
      </c>
      <c r="E113" s="9" t="inlineStr">
        <is>
          <t>Month 1</t>
        </is>
      </c>
      <c r="F113" s="9" t="inlineStr">
        <is>
          <t>Pandas</t>
        </is>
      </c>
      <c r="G113" s="9" t="inlineStr">
        <is>
          <t>Advanced</t>
        </is>
      </c>
      <c r="H113" s="9" t="inlineStr">
        <is>
          <t>Basic EDA</t>
        </is>
      </c>
      <c r="I113" s="9" t="inlineStr">
        <is>
          <t>Master Basic EDA</t>
        </is>
      </c>
      <c r="J113" s="9" t="inlineStr">
        <is>
          <t>30 min</t>
        </is>
      </c>
      <c r="K113" s="9" t="inlineStr">
        <is>
          <t>30 min</t>
        </is>
      </c>
      <c r="L113" s="9" t="inlineStr">
        <is>
          <t>Code/Implement Basic EDA</t>
        </is>
      </c>
      <c r="M113" s="9" t="inlineStr">
        <is>
          <t>15 min</t>
        </is>
      </c>
      <c r="N113" s="9" t="inlineStr">
        <is>
          <t>What is your approach to handling Basic EDA?</t>
        </is>
      </c>
      <c r="O113" s="9" t="inlineStr">
        <is>
          <t>15 min</t>
        </is>
      </c>
      <c r="P113" s="9" t="inlineStr">
        <is>
          <t>Present your findings after Basic EDA.</t>
        </is>
      </c>
      <c r="Q113" s="9" t="inlineStr">
        <is>
          <t>Build/Refine code</t>
        </is>
      </c>
      <c r="R113" s="9" t="inlineStr">
        <is>
          <t>-</t>
        </is>
      </c>
      <c r="S113" s="10" t="inlineStr">
        <is>
          <t>☐ Not Started</t>
        </is>
      </c>
      <c r="T113" s="10">
        <f>IF(S113="☑ Completed", "COMPLETED", "NOT STARTED")</f>
        <v/>
      </c>
      <c r="U113" s="9" t="inlineStr">
        <is>
          <t>Review Notes for Day 23</t>
        </is>
      </c>
    </row>
    <row r="114">
      <c r="A114" s="10" t="n">
        <v>23</v>
      </c>
      <c r="B114" s="10" t="inlineStr">
        <is>
          <t>2026-09-22</t>
        </is>
      </c>
      <c r="C114" s="10" t="n">
        <v>4</v>
      </c>
      <c r="D114" s="10" t="n">
        <v>1</v>
      </c>
      <c r="E114" s="9" t="inlineStr">
        <is>
          <t>Month 1</t>
        </is>
      </c>
      <c r="F114" s="9" t="inlineStr">
        <is>
          <t>SQL</t>
        </is>
      </c>
      <c r="G114" s="9" t="inlineStr">
        <is>
          <t>Queries</t>
        </is>
      </c>
      <c r="H114" s="9" t="inlineStr">
        <is>
          <t>SELECT</t>
        </is>
      </c>
      <c r="I114" s="9" t="inlineStr">
        <is>
          <t>Master SELECT</t>
        </is>
      </c>
      <c r="J114" s="9" t="inlineStr">
        <is>
          <t>30 min</t>
        </is>
      </c>
      <c r="K114" s="9" t="inlineStr">
        <is>
          <t>30 min</t>
        </is>
      </c>
      <c r="L114" s="9" t="inlineStr">
        <is>
          <t>Code/Implement SELECT</t>
        </is>
      </c>
      <c r="M114" s="9" t="inlineStr">
        <is>
          <t>15 min</t>
        </is>
      </c>
      <c r="N114" s="9" t="inlineStr">
        <is>
          <t>How does SELECT affect query performance?</t>
        </is>
      </c>
      <c r="O114" s="9" t="inlineStr">
        <is>
          <t>15 min</t>
        </is>
      </c>
      <c r="P114" s="9" t="inlineStr">
        <is>
          <t>Read aloud a query using SELECT.</t>
        </is>
      </c>
      <c r="Q114" s="9" t="inlineStr">
        <is>
          <t>Build/Refine code</t>
        </is>
      </c>
      <c r="R114" s="9" t="inlineStr">
        <is>
          <t>-</t>
        </is>
      </c>
      <c r="S114" s="10" t="inlineStr">
        <is>
          <t>☐ Not Started</t>
        </is>
      </c>
      <c r="T114" s="10">
        <f>IF(S114="☑ Completed", "COMPLETED", "NOT STARTED")</f>
        <v/>
      </c>
      <c r="U114" s="9" t="inlineStr">
        <is>
          <t>Review Notes for Day 23</t>
        </is>
      </c>
    </row>
    <row r="115">
      <c r="A115" s="10" t="n">
        <v>23</v>
      </c>
      <c r="B115" s="10" t="inlineStr">
        <is>
          <t>2026-09-22</t>
        </is>
      </c>
      <c r="C115" s="10" t="n">
        <v>4</v>
      </c>
      <c r="D115" s="10" t="n">
        <v>1</v>
      </c>
      <c r="E115" s="9" t="inlineStr">
        <is>
          <t>Month 1</t>
        </is>
      </c>
      <c r="F115" s="9" t="inlineStr">
        <is>
          <t>SQL</t>
        </is>
      </c>
      <c r="G115" s="9" t="inlineStr">
        <is>
          <t>Queries</t>
        </is>
      </c>
      <c r="H115" s="9" t="inlineStr">
        <is>
          <t>WHERE</t>
        </is>
      </c>
      <c r="I115" s="9" t="inlineStr">
        <is>
          <t>Master WHERE</t>
        </is>
      </c>
      <c r="J115" s="9" t="inlineStr">
        <is>
          <t>30 min</t>
        </is>
      </c>
      <c r="K115" s="9" t="inlineStr">
        <is>
          <t>30 min</t>
        </is>
      </c>
      <c r="L115" s="9" t="inlineStr">
        <is>
          <t>Code/Implement WHERE</t>
        </is>
      </c>
      <c r="M115" s="9" t="inlineStr">
        <is>
          <t>15 min</t>
        </is>
      </c>
      <c r="N115" s="9" t="inlineStr">
        <is>
          <t>How does WHERE affect query performance?</t>
        </is>
      </c>
      <c r="O115" s="9" t="inlineStr">
        <is>
          <t>15 min</t>
        </is>
      </c>
      <c r="P115" s="9" t="inlineStr">
        <is>
          <t>Read aloud a query using WHERE.</t>
        </is>
      </c>
      <c r="Q115" s="9" t="inlineStr">
        <is>
          <t>Build/Refine code</t>
        </is>
      </c>
      <c r="R115" s="9" t="inlineStr">
        <is>
          <t>-</t>
        </is>
      </c>
      <c r="S115" s="10" t="inlineStr">
        <is>
          <t>☐ Not Started</t>
        </is>
      </c>
      <c r="T115" s="10">
        <f>IF(S115="☑ Completed", "COMPLETED", "NOT STARTED")</f>
        <v/>
      </c>
      <c r="U115" s="9" t="inlineStr">
        <is>
          <t>Review Notes for Day 23</t>
        </is>
      </c>
    </row>
    <row r="116">
      <c r="A116" s="10" t="n">
        <v>23</v>
      </c>
      <c r="B116" s="10" t="inlineStr">
        <is>
          <t>2026-09-22</t>
        </is>
      </c>
      <c r="C116" s="10" t="n">
        <v>4</v>
      </c>
      <c r="D116" s="10" t="n">
        <v>1</v>
      </c>
      <c r="E116" s="9" t="inlineStr">
        <is>
          <t>Month 1</t>
        </is>
      </c>
      <c r="F116" s="9" t="inlineStr">
        <is>
          <t>SQL</t>
        </is>
      </c>
      <c r="G116" s="9" t="inlineStr">
        <is>
          <t>Queries</t>
        </is>
      </c>
      <c r="H116" s="9" t="inlineStr">
        <is>
          <t>AND</t>
        </is>
      </c>
      <c r="I116" s="9" t="inlineStr">
        <is>
          <t>Master AND</t>
        </is>
      </c>
      <c r="J116" s="9" t="inlineStr">
        <is>
          <t>30 min</t>
        </is>
      </c>
      <c r="K116" s="9" t="inlineStr">
        <is>
          <t>30 min</t>
        </is>
      </c>
      <c r="L116" s="9" t="inlineStr">
        <is>
          <t>Code/Implement AND</t>
        </is>
      </c>
      <c r="M116" s="9" t="inlineStr">
        <is>
          <t>15 min</t>
        </is>
      </c>
      <c r="N116" s="9" t="inlineStr">
        <is>
          <t>How does AND affect query performance?</t>
        </is>
      </c>
      <c r="O116" s="9" t="inlineStr">
        <is>
          <t>15 min</t>
        </is>
      </c>
      <c r="P116" s="9" t="inlineStr">
        <is>
          <t>Read aloud a query using AND.</t>
        </is>
      </c>
      <c r="Q116" s="9" t="inlineStr">
        <is>
          <t>Build/Refine code</t>
        </is>
      </c>
      <c r="R116" s="9" t="inlineStr">
        <is>
          <t>-</t>
        </is>
      </c>
      <c r="S116" s="10" t="inlineStr">
        <is>
          <t>☐ Not Started</t>
        </is>
      </c>
      <c r="T116" s="10">
        <f>IF(S116="☑ Completed", "COMPLETED", "NOT STARTED")</f>
        <v/>
      </c>
      <c r="U116" s="9" t="inlineStr">
        <is>
          <t>Review Notes for Day 23</t>
        </is>
      </c>
    </row>
    <row r="117">
      <c r="A117" s="10" t="n">
        <v>24</v>
      </c>
      <c r="B117" s="10" t="inlineStr">
        <is>
          <t>2026-09-23</t>
        </is>
      </c>
      <c r="C117" s="10" t="n">
        <v>4</v>
      </c>
      <c r="D117" s="10" t="n">
        <v>1</v>
      </c>
      <c r="E117" s="9" t="inlineStr">
        <is>
          <t>Month 1</t>
        </is>
      </c>
      <c r="F117" s="9" t="inlineStr">
        <is>
          <t>SQL</t>
        </is>
      </c>
      <c r="G117" s="9" t="inlineStr">
        <is>
          <t>Queries</t>
        </is>
      </c>
      <c r="H117" s="9" t="inlineStr">
        <is>
          <t>OR</t>
        </is>
      </c>
      <c r="I117" s="9" t="inlineStr">
        <is>
          <t>Master OR</t>
        </is>
      </c>
      <c r="J117" s="9" t="inlineStr">
        <is>
          <t>45 min</t>
        </is>
      </c>
      <c r="K117" s="9" t="inlineStr">
        <is>
          <t>45 min</t>
        </is>
      </c>
      <c r="L117" s="9" t="inlineStr">
        <is>
          <t>Code/Implement OR</t>
        </is>
      </c>
      <c r="M117" s="9" t="inlineStr">
        <is>
          <t>15 min</t>
        </is>
      </c>
      <c r="N117" s="9" t="inlineStr">
        <is>
          <t>How does OR affect query performance?</t>
        </is>
      </c>
      <c r="O117" s="9" t="inlineStr">
        <is>
          <t>15 min</t>
        </is>
      </c>
      <c r="P117" s="9" t="inlineStr">
        <is>
          <t>Read aloud a query using OR.</t>
        </is>
      </c>
      <c r="Q117" s="9" t="inlineStr">
        <is>
          <t>Build/Refine code</t>
        </is>
      </c>
      <c r="R117" s="9" t="n">
        <v>8</v>
      </c>
      <c r="S117" s="10" t="inlineStr">
        <is>
          <t>☐ Not Started</t>
        </is>
      </c>
      <c r="T117" s="10">
        <f>IF(S117="☑ Completed", "COMPLETED", "NOT STARTED")</f>
        <v/>
      </c>
      <c r="U117" s="9" t="inlineStr">
        <is>
          <t>Review Notes for Day 24</t>
        </is>
      </c>
    </row>
    <row r="118">
      <c r="A118" s="10" t="n">
        <v>24</v>
      </c>
      <c r="B118" s="10" t="inlineStr">
        <is>
          <t>2026-09-23</t>
        </is>
      </c>
      <c r="C118" s="10" t="n">
        <v>4</v>
      </c>
      <c r="D118" s="10" t="n">
        <v>1</v>
      </c>
      <c r="E118" s="9" t="inlineStr">
        <is>
          <t>Month 1</t>
        </is>
      </c>
      <c r="F118" s="9" t="inlineStr">
        <is>
          <t>SQL</t>
        </is>
      </c>
      <c r="G118" s="9" t="inlineStr">
        <is>
          <t>Queries</t>
        </is>
      </c>
      <c r="H118" s="9" t="inlineStr">
        <is>
          <t>IN</t>
        </is>
      </c>
      <c r="I118" s="9" t="inlineStr">
        <is>
          <t>Master IN</t>
        </is>
      </c>
      <c r="J118" s="9" t="inlineStr">
        <is>
          <t>30 min</t>
        </is>
      </c>
      <c r="K118" s="9" t="inlineStr">
        <is>
          <t>30 min</t>
        </is>
      </c>
      <c r="L118" s="9" t="inlineStr">
        <is>
          <t>Code/Implement IN</t>
        </is>
      </c>
      <c r="M118" s="9" t="inlineStr">
        <is>
          <t>15 min</t>
        </is>
      </c>
      <c r="N118" s="9" t="inlineStr">
        <is>
          <t>How does IN affect query performance?</t>
        </is>
      </c>
      <c r="O118" s="9" t="inlineStr">
        <is>
          <t>15 min</t>
        </is>
      </c>
      <c r="P118" s="9" t="inlineStr">
        <is>
          <t>Read aloud a query using IN.</t>
        </is>
      </c>
      <c r="Q118" s="9" t="inlineStr">
        <is>
          <t>Build/Refine code</t>
        </is>
      </c>
      <c r="R118" s="9" t="inlineStr">
        <is>
          <t>-</t>
        </is>
      </c>
      <c r="S118" s="10" t="inlineStr">
        <is>
          <t>☐ Not Started</t>
        </is>
      </c>
      <c r="T118" s="10">
        <f>IF(S118="☑ Completed", "COMPLETED", "NOT STARTED")</f>
        <v/>
      </c>
      <c r="U118" s="9" t="inlineStr">
        <is>
          <t>Review Notes for Day 24</t>
        </is>
      </c>
    </row>
    <row r="119">
      <c r="A119" s="10" t="n">
        <v>24</v>
      </c>
      <c r="B119" s="10" t="inlineStr">
        <is>
          <t>2026-09-23</t>
        </is>
      </c>
      <c r="C119" s="10" t="n">
        <v>4</v>
      </c>
      <c r="D119" s="10" t="n">
        <v>1</v>
      </c>
      <c r="E119" s="9" t="inlineStr">
        <is>
          <t>Month 1</t>
        </is>
      </c>
      <c r="F119" s="9" t="inlineStr">
        <is>
          <t>SQL</t>
        </is>
      </c>
      <c r="G119" s="9" t="inlineStr">
        <is>
          <t>Queries</t>
        </is>
      </c>
      <c r="H119" s="9" t="inlineStr">
        <is>
          <t>BETWEEN</t>
        </is>
      </c>
      <c r="I119" s="9" t="inlineStr">
        <is>
          <t>Master BETWEEN</t>
        </is>
      </c>
      <c r="J119" s="9" t="inlineStr">
        <is>
          <t>30 min</t>
        </is>
      </c>
      <c r="K119" s="9" t="inlineStr">
        <is>
          <t>30 min</t>
        </is>
      </c>
      <c r="L119" s="9" t="inlineStr">
        <is>
          <t>Code/Implement BETWEEN</t>
        </is>
      </c>
      <c r="M119" s="9" t="inlineStr">
        <is>
          <t>15 min</t>
        </is>
      </c>
      <c r="N119" s="9" t="inlineStr">
        <is>
          <t>How does BETWEEN affect query performance?</t>
        </is>
      </c>
      <c r="O119" s="9" t="inlineStr">
        <is>
          <t>15 min</t>
        </is>
      </c>
      <c r="P119" s="9" t="inlineStr">
        <is>
          <t>Read aloud a query using BETWEEN.</t>
        </is>
      </c>
      <c r="Q119" s="9" t="inlineStr">
        <is>
          <t>Build/Refine code</t>
        </is>
      </c>
      <c r="R119" s="9" t="inlineStr">
        <is>
          <t>-</t>
        </is>
      </c>
      <c r="S119" s="10" t="inlineStr">
        <is>
          <t>☐ Not Started</t>
        </is>
      </c>
      <c r="T119" s="10">
        <f>IF(S119="☑ Completed", "COMPLETED", "NOT STARTED")</f>
        <v/>
      </c>
      <c r="U119" s="9" t="inlineStr">
        <is>
          <t>Review Notes for Day 24</t>
        </is>
      </c>
    </row>
    <row r="120">
      <c r="A120" s="10" t="n">
        <v>24</v>
      </c>
      <c r="B120" s="10" t="inlineStr">
        <is>
          <t>2026-09-23</t>
        </is>
      </c>
      <c r="C120" s="10" t="n">
        <v>4</v>
      </c>
      <c r="D120" s="10" t="n">
        <v>1</v>
      </c>
      <c r="E120" s="9" t="inlineStr">
        <is>
          <t>Month 1</t>
        </is>
      </c>
      <c r="F120" s="9" t="inlineStr">
        <is>
          <t>SQL</t>
        </is>
      </c>
      <c r="G120" s="9" t="inlineStr">
        <is>
          <t>Queries</t>
        </is>
      </c>
      <c r="H120" s="9" t="inlineStr">
        <is>
          <t>LIKE</t>
        </is>
      </c>
      <c r="I120" s="9" t="inlineStr">
        <is>
          <t>Master LIKE</t>
        </is>
      </c>
      <c r="J120" s="9" t="inlineStr">
        <is>
          <t>30 min</t>
        </is>
      </c>
      <c r="K120" s="9" t="inlineStr">
        <is>
          <t>30 min</t>
        </is>
      </c>
      <c r="L120" s="9" t="inlineStr">
        <is>
          <t>Code/Implement LIKE</t>
        </is>
      </c>
      <c r="M120" s="9" t="inlineStr">
        <is>
          <t>15 min</t>
        </is>
      </c>
      <c r="N120" s="9" t="inlineStr">
        <is>
          <t>How does LIKE affect query performance?</t>
        </is>
      </c>
      <c r="O120" s="9" t="inlineStr">
        <is>
          <t>15 min</t>
        </is>
      </c>
      <c r="P120" s="9" t="inlineStr">
        <is>
          <t>Read aloud a query using LIKE.</t>
        </is>
      </c>
      <c r="Q120" s="9" t="inlineStr">
        <is>
          <t>Build/Refine code</t>
        </is>
      </c>
      <c r="R120" s="9" t="inlineStr">
        <is>
          <t>-</t>
        </is>
      </c>
      <c r="S120" s="10" t="inlineStr">
        <is>
          <t>☐ Not Started</t>
        </is>
      </c>
      <c r="T120" s="10">
        <f>IF(S120="☑ Completed", "COMPLETED", "NOT STARTED")</f>
        <v/>
      </c>
      <c r="U120" s="9" t="inlineStr">
        <is>
          <t>Review Notes for Day 24</t>
        </is>
      </c>
    </row>
    <row r="121">
      <c r="A121" s="10" t="n">
        <v>24</v>
      </c>
      <c r="B121" s="10" t="inlineStr">
        <is>
          <t>2026-09-23</t>
        </is>
      </c>
      <c r="C121" s="10" t="n">
        <v>4</v>
      </c>
      <c r="D121" s="10" t="n">
        <v>1</v>
      </c>
      <c r="E121" s="9" t="inlineStr">
        <is>
          <t>Month 1</t>
        </is>
      </c>
      <c r="F121" s="9" t="inlineStr">
        <is>
          <t>SQL</t>
        </is>
      </c>
      <c r="G121" s="9" t="inlineStr">
        <is>
          <t>Queries</t>
        </is>
      </c>
      <c r="H121" s="9" t="inlineStr">
        <is>
          <t>ORDER BY</t>
        </is>
      </c>
      <c r="I121" s="9" t="inlineStr">
        <is>
          <t>Master ORDER BY</t>
        </is>
      </c>
      <c r="J121" s="9" t="inlineStr">
        <is>
          <t>30 min</t>
        </is>
      </c>
      <c r="K121" s="9" t="inlineStr">
        <is>
          <t>30 min</t>
        </is>
      </c>
      <c r="L121" s="9" t="inlineStr">
        <is>
          <t>Code/Implement ORDER BY</t>
        </is>
      </c>
      <c r="M121" s="9" t="inlineStr">
        <is>
          <t>15 min</t>
        </is>
      </c>
      <c r="N121" s="9" t="inlineStr">
        <is>
          <t>How does ORDER BY affect query performance?</t>
        </is>
      </c>
      <c r="O121" s="9" t="inlineStr">
        <is>
          <t>15 min</t>
        </is>
      </c>
      <c r="P121" s="9" t="inlineStr">
        <is>
          <t>Read aloud a query using ORDER BY.</t>
        </is>
      </c>
      <c r="Q121" s="9" t="inlineStr">
        <is>
          <t>Build/Refine code</t>
        </is>
      </c>
      <c r="R121" s="9" t="inlineStr">
        <is>
          <t>-</t>
        </is>
      </c>
      <c r="S121" s="10" t="inlineStr">
        <is>
          <t>☐ Not Started</t>
        </is>
      </c>
      <c r="T121" s="10">
        <f>IF(S121="☑ Completed", "COMPLETED", "NOT STARTED")</f>
        <v/>
      </c>
      <c r="U121" s="9" t="inlineStr">
        <is>
          <t>Review Notes for Day 24</t>
        </is>
      </c>
    </row>
    <row r="122">
      <c r="A122" s="10" t="n">
        <v>25</v>
      </c>
      <c r="B122" s="10" t="inlineStr">
        <is>
          <t>2026-09-24</t>
        </is>
      </c>
      <c r="C122" s="10" t="n">
        <v>4</v>
      </c>
      <c r="D122" s="10" t="n">
        <v>1</v>
      </c>
      <c r="E122" s="9" t="inlineStr">
        <is>
          <t>Month 1</t>
        </is>
      </c>
      <c r="F122" s="9" t="inlineStr">
        <is>
          <t>SQL</t>
        </is>
      </c>
      <c r="G122" s="9" t="inlineStr">
        <is>
          <t>Queries</t>
        </is>
      </c>
      <c r="H122" s="9" t="inlineStr">
        <is>
          <t>GROUP BY</t>
        </is>
      </c>
      <c r="I122" s="9" t="inlineStr">
        <is>
          <t>Master GROUP BY</t>
        </is>
      </c>
      <c r="J122" s="9" t="inlineStr">
        <is>
          <t>45 min</t>
        </is>
      </c>
      <c r="K122" s="9" t="inlineStr">
        <is>
          <t>45 min</t>
        </is>
      </c>
      <c r="L122" s="9" t="inlineStr">
        <is>
          <t>Code/Implement GROUP BY</t>
        </is>
      </c>
      <c r="M122" s="9" t="inlineStr">
        <is>
          <t>15 min</t>
        </is>
      </c>
      <c r="N122" s="9" t="inlineStr">
        <is>
          <t>How does GROUP BY affect query performance?</t>
        </is>
      </c>
      <c r="O122" s="9" t="inlineStr">
        <is>
          <t>15 min</t>
        </is>
      </c>
      <c r="P122" s="9" t="inlineStr">
        <is>
          <t>Read aloud a query using GROUP BY.</t>
        </is>
      </c>
      <c r="Q122" s="9" t="inlineStr">
        <is>
          <t>Build/Refine code</t>
        </is>
      </c>
      <c r="R122" s="9" t="n">
        <v>8</v>
      </c>
      <c r="S122" s="10" t="inlineStr">
        <is>
          <t>☐ Not Started</t>
        </is>
      </c>
      <c r="T122" s="10">
        <f>IF(S122="☑ Completed", "COMPLETED", "NOT STARTED")</f>
        <v/>
      </c>
      <c r="U122" s="9" t="inlineStr">
        <is>
          <t>Review Notes for Day 25</t>
        </is>
      </c>
    </row>
    <row r="123">
      <c r="A123" s="10" t="n">
        <v>25</v>
      </c>
      <c r="B123" s="10" t="inlineStr">
        <is>
          <t>2026-09-24</t>
        </is>
      </c>
      <c r="C123" s="10" t="n">
        <v>4</v>
      </c>
      <c r="D123" s="10" t="n">
        <v>1</v>
      </c>
      <c r="E123" s="9" t="inlineStr">
        <is>
          <t>Month 1</t>
        </is>
      </c>
      <c r="F123" s="9" t="inlineStr">
        <is>
          <t>SQL</t>
        </is>
      </c>
      <c r="G123" s="9" t="inlineStr">
        <is>
          <t>Queries</t>
        </is>
      </c>
      <c r="H123" s="9" t="inlineStr">
        <is>
          <t>HAVING</t>
        </is>
      </c>
      <c r="I123" s="9" t="inlineStr">
        <is>
          <t>Master HAVING</t>
        </is>
      </c>
      <c r="J123" s="9" t="inlineStr">
        <is>
          <t>30 min</t>
        </is>
      </c>
      <c r="K123" s="9" t="inlineStr">
        <is>
          <t>30 min</t>
        </is>
      </c>
      <c r="L123" s="9" t="inlineStr">
        <is>
          <t>Code/Implement HAVING</t>
        </is>
      </c>
      <c r="M123" s="9" t="inlineStr">
        <is>
          <t>15 min</t>
        </is>
      </c>
      <c r="N123" s="9" t="inlineStr">
        <is>
          <t>How does HAVING affect query performance?</t>
        </is>
      </c>
      <c r="O123" s="9" t="inlineStr">
        <is>
          <t>15 min</t>
        </is>
      </c>
      <c r="P123" s="9" t="inlineStr">
        <is>
          <t>Read aloud a query using HAVING.</t>
        </is>
      </c>
      <c r="Q123" s="9" t="inlineStr">
        <is>
          <t>Build/Refine code</t>
        </is>
      </c>
      <c r="R123" s="9" t="inlineStr">
        <is>
          <t>-</t>
        </is>
      </c>
      <c r="S123" s="10" t="inlineStr">
        <is>
          <t>☐ Not Started</t>
        </is>
      </c>
      <c r="T123" s="10">
        <f>IF(S123="☑ Completed", "COMPLETED", "NOT STARTED")</f>
        <v/>
      </c>
      <c r="U123" s="9" t="inlineStr">
        <is>
          <t>Review Notes for Day 25</t>
        </is>
      </c>
    </row>
    <row r="124">
      <c r="A124" s="10" t="n">
        <v>25</v>
      </c>
      <c r="B124" s="10" t="inlineStr">
        <is>
          <t>2026-09-24</t>
        </is>
      </c>
      <c r="C124" s="10" t="n">
        <v>4</v>
      </c>
      <c r="D124" s="10" t="n">
        <v>1</v>
      </c>
      <c r="E124" s="9" t="inlineStr">
        <is>
          <t>Month 1</t>
        </is>
      </c>
      <c r="F124" s="9" t="inlineStr">
        <is>
          <t>SQL</t>
        </is>
      </c>
      <c r="G124" s="9" t="inlineStr">
        <is>
          <t>Queries</t>
        </is>
      </c>
      <c r="H124" s="9" t="inlineStr">
        <is>
          <t>COUNT</t>
        </is>
      </c>
      <c r="I124" s="9" t="inlineStr">
        <is>
          <t>Master COUNT</t>
        </is>
      </c>
      <c r="J124" s="9" t="inlineStr">
        <is>
          <t>30 min</t>
        </is>
      </c>
      <c r="K124" s="9" t="inlineStr">
        <is>
          <t>30 min</t>
        </is>
      </c>
      <c r="L124" s="9" t="inlineStr">
        <is>
          <t>Code/Implement COUNT</t>
        </is>
      </c>
      <c r="M124" s="9" t="inlineStr">
        <is>
          <t>15 min</t>
        </is>
      </c>
      <c r="N124" s="9" t="inlineStr">
        <is>
          <t>How does COUNT affect query performance?</t>
        </is>
      </c>
      <c r="O124" s="9" t="inlineStr">
        <is>
          <t>15 min</t>
        </is>
      </c>
      <c r="P124" s="9" t="inlineStr">
        <is>
          <t>Read aloud a query using COUNT.</t>
        </is>
      </c>
      <c r="Q124" s="9" t="inlineStr">
        <is>
          <t>Build/Refine code</t>
        </is>
      </c>
      <c r="R124" s="9" t="inlineStr">
        <is>
          <t>-</t>
        </is>
      </c>
      <c r="S124" s="10" t="inlineStr">
        <is>
          <t>☐ Not Started</t>
        </is>
      </c>
      <c r="T124" s="10">
        <f>IF(S124="☑ Completed", "COMPLETED", "NOT STARTED")</f>
        <v/>
      </c>
      <c r="U124" s="9" t="inlineStr">
        <is>
          <t>Review Notes for Day 25</t>
        </is>
      </c>
    </row>
    <row r="125">
      <c r="A125" s="10" t="n">
        <v>25</v>
      </c>
      <c r="B125" s="10" t="inlineStr">
        <is>
          <t>2026-09-24</t>
        </is>
      </c>
      <c r="C125" s="10" t="n">
        <v>4</v>
      </c>
      <c r="D125" s="10" t="n">
        <v>1</v>
      </c>
      <c r="E125" s="9" t="inlineStr">
        <is>
          <t>Month 1</t>
        </is>
      </c>
      <c r="F125" s="9" t="inlineStr">
        <is>
          <t>SQL</t>
        </is>
      </c>
      <c r="G125" s="9" t="inlineStr">
        <is>
          <t>Queries</t>
        </is>
      </c>
      <c r="H125" s="9" t="inlineStr">
        <is>
          <t>SUM</t>
        </is>
      </c>
      <c r="I125" s="9" t="inlineStr">
        <is>
          <t>Master SUM</t>
        </is>
      </c>
      <c r="J125" s="9" t="inlineStr">
        <is>
          <t>30 min</t>
        </is>
      </c>
      <c r="K125" s="9" t="inlineStr">
        <is>
          <t>30 min</t>
        </is>
      </c>
      <c r="L125" s="9" t="inlineStr">
        <is>
          <t>Code/Implement SUM</t>
        </is>
      </c>
      <c r="M125" s="9" t="inlineStr">
        <is>
          <t>15 min</t>
        </is>
      </c>
      <c r="N125" s="9" t="inlineStr">
        <is>
          <t>How does SUM affect query performance?</t>
        </is>
      </c>
      <c r="O125" s="9" t="inlineStr">
        <is>
          <t>15 min</t>
        </is>
      </c>
      <c r="P125" s="9" t="inlineStr">
        <is>
          <t>Read aloud a query using SUM.</t>
        </is>
      </c>
      <c r="Q125" s="9" t="inlineStr">
        <is>
          <t>Build/Refine code</t>
        </is>
      </c>
      <c r="R125" s="9" t="inlineStr">
        <is>
          <t>-</t>
        </is>
      </c>
      <c r="S125" s="10" t="inlineStr">
        <is>
          <t>☐ Not Started</t>
        </is>
      </c>
      <c r="T125" s="10">
        <f>IF(S125="☑ Completed", "COMPLETED", "NOT STARTED")</f>
        <v/>
      </c>
      <c r="U125" s="9" t="inlineStr">
        <is>
          <t>Review Notes for Day 25</t>
        </is>
      </c>
    </row>
    <row r="126">
      <c r="A126" s="10" t="n">
        <v>25</v>
      </c>
      <c r="B126" s="10" t="inlineStr">
        <is>
          <t>2026-09-24</t>
        </is>
      </c>
      <c r="C126" s="10" t="n">
        <v>4</v>
      </c>
      <c r="D126" s="10" t="n">
        <v>1</v>
      </c>
      <c r="E126" s="9" t="inlineStr">
        <is>
          <t>Month 1</t>
        </is>
      </c>
      <c r="F126" s="9" t="inlineStr">
        <is>
          <t>SQL</t>
        </is>
      </c>
      <c r="G126" s="9" t="inlineStr">
        <is>
          <t>Queries</t>
        </is>
      </c>
      <c r="H126" s="9" t="inlineStr">
        <is>
          <t>AVG</t>
        </is>
      </c>
      <c r="I126" s="9" t="inlineStr">
        <is>
          <t>Master AVG</t>
        </is>
      </c>
      <c r="J126" s="9" t="inlineStr">
        <is>
          <t>30 min</t>
        </is>
      </c>
      <c r="K126" s="9" t="inlineStr">
        <is>
          <t>30 min</t>
        </is>
      </c>
      <c r="L126" s="9" t="inlineStr">
        <is>
          <t>Code/Implement AVG</t>
        </is>
      </c>
      <c r="M126" s="9" t="inlineStr">
        <is>
          <t>15 min</t>
        </is>
      </c>
      <c r="N126" s="9" t="inlineStr">
        <is>
          <t>How does AVG affect query performance?</t>
        </is>
      </c>
      <c r="O126" s="9" t="inlineStr">
        <is>
          <t>15 min</t>
        </is>
      </c>
      <c r="P126" s="9" t="inlineStr">
        <is>
          <t>Read aloud a query using AVG.</t>
        </is>
      </c>
      <c r="Q126" s="9" t="inlineStr">
        <is>
          <t>Build/Refine code</t>
        </is>
      </c>
      <c r="R126" s="9" t="inlineStr">
        <is>
          <t>-</t>
        </is>
      </c>
      <c r="S126" s="10" t="inlineStr">
        <is>
          <t>☐ Not Started</t>
        </is>
      </c>
      <c r="T126" s="10">
        <f>IF(S126="☑ Completed", "COMPLETED", "NOT STARTED")</f>
        <v/>
      </c>
      <c r="U126" s="9" t="inlineStr">
        <is>
          <t>Review Notes for Day 25</t>
        </is>
      </c>
    </row>
    <row r="127">
      <c r="A127" s="10" t="n">
        <v>26</v>
      </c>
      <c r="B127" s="10" t="inlineStr">
        <is>
          <t>2026-09-25</t>
        </is>
      </c>
      <c r="C127" s="10" t="n">
        <v>4</v>
      </c>
      <c r="D127" s="10" t="n">
        <v>1</v>
      </c>
      <c r="E127" s="9" t="inlineStr">
        <is>
          <t>Month 1</t>
        </is>
      </c>
      <c r="F127" s="9" t="inlineStr">
        <is>
          <t>SQL</t>
        </is>
      </c>
      <c r="G127" s="9" t="inlineStr">
        <is>
          <t>Queries</t>
        </is>
      </c>
      <c r="H127" s="9" t="inlineStr">
        <is>
          <t>MIN</t>
        </is>
      </c>
      <c r="I127" s="9" t="inlineStr">
        <is>
          <t>Master MIN</t>
        </is>
      </c>
      <c r="J127" s="9" t="inlineStr">
        <is>
          <t>45 min</t>
        </is>
      </c>
      <c r="K127" s="9" t="inlineStr">
        <is>
          <t>45 min</t>
        </is>
      </c>
      <c r="L127" s="9" t="inlineStr">
        <is>
          <t>Code/Implement MIN</t>
        </is>
      </c>
      <c r="M127" s="9" t="inlineStr">
        <is>
          <t>15 min</t>
        </is>
      </c>
      <c r="N127" s="9" t="inlineStr">
        <is>
          <t>How does MIN affect query performance?</t>
        </is>
      </c>
      <c r="O127" s="9" t="inlineStr">
        <is>
          <t>15 min</t>
        </is>
      </c>
      <c r="P127" s="9" t="inlineStr">
        <is>
          <t>Read aloud a query using MIN.</t>
        </is>
      </c>
      <c r="Q127" s="9" t="inlineStr">
        <is>
          <t>Build/Refine code</t>
        </is>
      </c>
      <c r="R127" s="9" t="n">
        <v>8</v>
      </c>
      <c r="S127" s="10" t="inlineStr">
        <is>
          <t>☐ Not Started</t>
        </is>
      </c>
      <c r="T127" s="10">
        <f>IF(S127="☑ Completed", "COMPLETED", "NOT STARTED")</f>
        <v/>
      </c>
      <c r="U127" s="9" t="inlineStr">
        <is>
          <t>Review Notes for Day 26</t>
        </is>
      </c>
    </row>
    <row r="128">
      <c r="A128" s="10" t="n">
        <v>26</v>
      </c>
      <c r="B128" s="10" t="inlineStr">
        <is>
          <t>2026-09-25</t>
        </is>
      </c>
      <c r="C128" s="10" t="n">
        <v>4</v>
      </c>
      <c r="D128" s="10" t="n">
        <v>1</v>
      </c>
      <c r="E128" s="9" t="inlineStr">
        <is>
          <t>Month 1</t>
        </is>
      </c>
      <c r="F128" s="9" t="inlineStr">
        <is>
          <t>SQL</t>
        </is>
      </c>
      <c r="G128" s="9" t="inlineStr">
        <is>
          <t>Queries</t>
        </is>
      </c>
      <c r="H128" s="9" t="inlineStr">
        <is>
          <t>MAX</t>
        </is>
      </c>
      <c r="I128" s="9" t="inlineStr">
        <is>
          <t>Master MAX</t>
        </is>
      </c>
      <c r="J128" s="9" t="inlineStr">
        <is>
          <t>30 min</t>
        </is>
      </c>
      <c r="K128" s="9" t="inlineStr">
        <is>
          <t>30 min</t>
        </is>
      </c>
      <c r="L128" s="9" t="inlineStr">
        <is>
          <t>Code/Implement MAX</t>
        </is>
      </c>
      <c r="M128" s="9" t="inlineStr">
        <is>
          <t>15 min</t>
        </is>
      </c>
      <c r="N128" s="9" t="inlineStr">
        <is>
          <t>How does MAX affect query performance?</t>
        </is>
      </c>
      <c r="O128" s="9" t="inlineStr">
        <is>
          <t>15 min</t>
        </is>
      </c>
      <c r="P128" s="9" t="inlineStr">
        <is>
          <t>Read aloud a query using MAX.</t>
        </is>
      </c>
      <c r="Q128" s="9" t="inlineStr">
        <is>
          <t>Build/Refine code</t>
        </is>
      </c>
      <c r="R128" s="9" t="inlineStr">
        <is>
          <t>-</t>
        </is>
      </c>
      <c r="S128" s="10" t="inlineStr">
        <is>
          <t>☐ Not Started</t>
        </is>
      </c>
      <c r="T128" s="10">
        <f>IF(S128="☑ Completed", "COMPLETED", "NOT STARTED")</f>
        <v/>
      </c>
      <c r="U128" s="9" t="inlineStr">
        <is>
          <t>Review Notes for Day 26</t>
        </is>
      </c>
    </row>
    <row r="129">
      <c r="A129" s="10" t="n">
        <v>26</v>
      </c>
      <c r="B129" s="10" t="inlineStr">
        <is>
          <t>2026-09-25</t>
        </is>
      </c>
      <c r="C129" s="10" t="n">
        <v>4</v>
      </c>
      <c r="D129" s="10" t="n">
        <v>1</v>
      </c>
      <c r="E129" s="9" t="inlineStr">
        <is>
          <t>Month 1</t>
        </is>
      </c>
      <c r="F129" s="9" t="inlineStr">
        <is>
          <t>SQL</t>
        </is>
      </c>
      <c r="G129" s="9" t="inlineStr">
        <is>
          <t>Joins &amp; Advanced</t>
        </is>
      </c>
      <c r="H129" s="9" t="inlineStr">
        <is>
          <t>INNER JOIN</t>
        </is>
      </c>
      <c r="I129" s="9" t="inlineStr">
        <is>
          <t>Master INNER JOIN</t>
        </is>
      </c>
      <c r="J129" s="9" t="inlineStr">
        <is>
          <t>30 min</t>
        </is>
      </c>
      <c r="K129" s="9" t="inlineStr">
        <is>
          <t>30 min</t>
        </is>
      </c>
      <c r="L129" s="9" t="inlineStr">
        <is>
          <t>Code/Implement INNER JOIN</t>
        </is>
      </c>
      <c r="M129" s="9" t="inlineStr">
        <is>
          <t>15 min</t>
        </is>
      </c>
      <c r="N129" s="9" t="inlineStr">
        <is>
          <t>Explain the difference between INNER JOIN and its alternatives.</t>
        </is>
      </c>
      <c r="O129" s="9" t="inlineStr">
        <is>
          <t>15 min</t>
        </is>
      </c>
      <c r="P129" s="9" t="inlineStr">
        <is>
          <t>Describe a business case for INNER JOIN.</t>
        </is>
      </c>
      <c r="Q129" s="9" t="inlineStr">
        <is>
          <t>Build/Refine code</t>
        </is>
      </c>
      <c r="R129" s="9" t="inlineStr">
        <is>
          <t>-</t>
        </is>
      </c>
      <c r="S129" s="10" t="inlineStr">
        <is>
          <t>☐ Not Started</t>
        </is>
      </c>
      <c r="T129" s="10">
        <f>IF(S129="☑ Completed", "COMPLETED", "NOT STARTED")</f>
        <v/>
      </c>
      <c r="U129" s="9" t="inlineStr">
        <is>
          <t>Review Notes for Day 26</t>
        </is>
      </c>
    </row>
    <row r="130">
      <c r="A130" s="10" t="n">
        <v>26</v>
      </c>
      <c r="B130" s="10" t="inlineStr">
        <is>
          <t>2026-09-25</t>
        </is>
      </c>
      <c r="C130" s="10" t="n">
        <v>4</v>
      </c>
      <c r="D130" s="10" t="n">
        <v>1</v>
      </c>
      <c r="E130" s="9" t="inlineStr">
        <is>
          <t>Month 1</t>
        </is>
      </c>
      <c r="F130" s="9" t="inlineStr">
        <is>
          <t>SQL</t>
        </is>
      </c>
      <c r="G130" s="9" t="inlineStr">
        <is>
          <t>Joins &amp; Advanced</t>
        </is>
      </c>
      <c r="H130" s="9" t="inlineStr">
        <is>
          <t>LEFT JOIN</t>
        </is>
      </c>
      <c r="I130" s="9" t="inlineStr">
        <is>
          <t>Master LEFT JOIN</t>
        </is>
      </c>
      <c r="J130" s="9" t="inlineStr">
        <is>
          <t>30 min</t>
        </is>
      </c>
      <c r="K130" s="9" t="inlineStr">
        <is>
          <t>30 min</t>
        </is>
      </c>
      <c r="L130" s="9" t="inlineStr">
        <is>
          <t>Code/Implement LEFT JOIN</t>
        </is>
      </c>
      <c r="M130" s="9" t="inlineStr">
        <is>
          <t>15 min</t>
        </is>
      </c>
      <c r="N130" s="9" t="inlineStr">
        <is>
          <t>Explain the difference between LEFT JOIN and its alternatives.</t>
        </is>
      </c>
      <c r="O130" s="9" t="inlineStr">
        <is>
          <t>15 min</t>
        </is>
      </c>
      <c r="P130" s="9" t="inlineStr">
        <is>
          <t>Describe a business case for LEFT JOIN.</t>
        </is>
      </c>
      <c r="Q130" s="9" t="inlineStr">
        <is>
          <t>Build/Refine code</t>
        </is>
      </c>
      <c r="R130" s="9" t="inlineStr">
        <is>
          <t>-</t>
        </is>
      </c>
      <c r="S130" s="10" t="inlineStr">
        <is>
          <t>☐ Not Started</t>
        </is>
      </c>
      <c r="T130" s="10">
        <f>IF(S130="☑ Completed", "COMPLETED", "NOT STARTED")</f>
        <v/>
      </c>
      <c r="U130" s="9" t="inlineStr">
        <is>
          <t>Review Notes for Day 26</t>
        </is>
      </c>
    </row>
    <row r="131">
      <c r="A131" s="10" t="n">
        <v>26</v>
      </c>
      <c r="B131" s="10" t="inlineStr">
        <is>
          <t>2026-09-25</t>
        </is>
      </c>
      <c r="C131" s="10" t="n">
        <v>4</v>
      </c>
      <c r="D131" s="10" t="n">
        <v>1</v>
      </c>
      <c r="E131" s="9" t="inlineStr">
        <is>
          <t>Month 1</t>
        </is>
      </c>
      <c r="F131" s="9" t="inlineStr">
        <is>
          <t>SQL</t>
        </is>
      </c>
      <c r="G131" s="9" t="inlineStr">
        <is>
          <t>Joins &amp; Advanced</t>
        </is>
      </c>
      <c r="H131" s="9" t="inlineStr">
        <is>
          <t>RIGHT JOIN</t>
        </is>
      </c>
      <c r="I131" s="9" t="inlineStr">
        <is>
          <t>Master RIGHT JOIN</t>
        </is>
      </c>
      <c r="J131" s="9" t="inlineStr">
        <is>
          <t>30 min</t>
        </is>
      </c>
      <c r="K131" s="9" t="inlineStr">
        <is>
          <t>30 min</t>
        </is>
      </c>
      <c r="L131" s="9" t="inlineStr">
        <is>
          <t>Code/Implement RIGHT JOIN</t>
        </is>
      </c>
      <c r="M131" s="9" t="inlineStr">
        <is>
          <t>15 min</t>
        </is>
      </c>
      <c r="N131" s="9" t="inlineStr">
        <is>
          <t>Explain the difference between RIGHT JOIN and its alternatives.</t>
        </is>
      </c>
      <c r="O131" s="9" t="inlineStr">
        <is>
          <t>15 min</t>
        </is>
      </c>
      <c r="P131" s="9" t="inlineStr">
        <is>
          <t>Describe a business case for RIGHT JOIN.</t>
        </is>
      </c>
      <c r="Q131" s="9" t="inlineStr">
        <is>
          <t>Build/Refine code</t>
        </is>
      </c>
      <c r="R131" s="9" t="inlineStr">
        <is>
          <t>-</t>
        </is>
      </c>
      <c r="S131" s="10" t="inlineStr">
        <is>
          <t>☐ Not Started</t>
        </is>
      </c>
      <c r="T131" s="10">
        <f>IF(S131="☑ Completed", "COMPLETED", "NOT STARTED")</f>
        <v/>
      </c>
      <c r="U131" s="9" t="inlineStr">
        <is>
          <t>Review Notes for Day 26</t>
        </is>
      </c>
    </row>
    <row r="132">
      <c r="A132" s="10" t="n">
        <v>27</v>
      </c>
      <c r="B132" s="10" t="inlineStr">
        <is>
          <t>2026-09-26</t>
        </is>
      </c>
      <c r="C132" s="10" t="n">
        <v>4</v>
      </c>
      <c r="D132" s="10" t="n">
        <v>1</v>
      </c>
      <c r="E132" s="9" t="inlineStr">
        <is>
          <t>Month 1</t>
        </is>
      </c>
      <c r="F132" s="9" t="inlineStr">
        <is>
          <t>SQL</t>
        </is>
      </c>
      <c r="G132" s="9" t="inlineStr">
        <is>
          <t>Joins &amp; Advanced</t>
        </is>
      </c>
      <c r="H132" s="9" t="inlineStr">
        <is>
          <t>FULL JOIN concept</t>
        </is>
      </c>
      <c r="I132" s="9" t="inlineStr">
        <is>
          <t>Master FULL JOIN concept</t>
        </is>
      </c>
      <c r="J132" s="9" t="inlineStr">
        <is>
          <t>45 min</t>
        </is>
      </c>
      <c r="K132" s="9" t="inlineStr">
        <is>
          <t>45 min</t>
        </is>
      </c>
      <c r="L132" s="9" t="inlineStr">
        <is>
          <t>Code/Implement FULL JOIN concept</t>
        </is>
      </c>
      <c r="M132" s="9" t="inlineStr">
        <is>
          <t>15 min</t>
        </is>
      </c>
      <c r="N132" s="9" t="inlineStr">
        <is>
          <t>Explain the difference between FULL JOIN concept and its alternatives.</t>
        </is>
      </c>
      <c r="O132" s="9" t="inlineStr">
        <is>
          <t>15 min</t>
        </is>
      </c>
      <c r="P132" s="9" t="inlineStr">
        <is>
          <t>Describe a business case for FULL JOIN concept.</t>
        </is>
      </c>
      <c r="Q132" s="9" t="inlineStr">
        <is>
          <t>Build/Refine code</t>
        </is>
      </c>
      <c r="R132" s="9" t="n">
        <v>8</v>
      </c>
      <c r="S132" s="10" t="inlineStr">
        <is>
          <t>☐ Not Started</t>
        </is>
      </c>
      <c r="T132" s="10">
        <f>IF(S132="☑ Completed", "COMPLETED", "NOT STARTED")</f>
        <v/>
      </c>
      <c r="U132" s="9" t="inlineStr">
        <is>
          <t>Review Notes for Day 27</t>
        </is>
      </c>
    </row>
    <row r="133">
      <c r="A133" s="10" t="n">
        <v>27</v>
      </c>
      <c r="B133" s="10" t="inlineStr">
        <is>
          <t>2026-09-26</t>
        </is>
      </c>
      <c r="C133" s="10" t="n">
        <v>4</v>
      </c>
      <c r="D133" s="10" t="n">
        <v>1</v>
      </c>
      <c r="E133" s="9" t="inlineStr">
        <is>
          <t>Month 1</t>
        </is>
      </c>
      <c r="F133" s="9" t="inlineStr">
        <is>
          <t>SQL</t>
        </is>
      </c>
      <c r="G133" s="9" t="inlineStr">
        <is>
          <t>Joins &amp; Advanced</t>
        </is>
      </c>
      <c r="H133" s="9" t="inlineStr">
        <is>
          <t>Subqueries</t>
        </is>
      </c>
      <c r="I133" s="9" t="inlineStr">
        <is>
          <t>Master Subqueries</t>
        </is>
      </c>
      <c r="J133" s="9" t="inlineStr">
        <is>
          <t>30 min</t>
        </is>
      </c>
      <c r="K133" s="9" t="inlineStr">
        <is>
          <t>30 min</t>
        </is>
      </c>
      <c r="L133" s="9" t="inlineStr">
        <is>
          <t>Code/Implement Subqueries</t>
        </is>
      </c>
      <c r="M133" s="9" t="inlineStr">
        <is>
          <t>15 min</t>
        </is>
      </c>
      <c r="N133" s="9" t="inlineStr">
        <is>
          <t>Explain the difference between Subqueries and its alternatives.</t>
        </is>
      </c>
      <c r="O133" s="9" t="inlineStr">
        <is>
          <t>15 min</t>
        </is>
      </c>
      <c r="P133" s="9" t="inlineStr">
        <is>
          <t>Describe a business case for Subqueries.</t>
        </is>
      </c>
      <c r="Q133" s="9" t="inlineStr">
        <is>
          <t>Build/Refine code</t>
        </is>
      </c>
      <c r="R133" s="9" t="inlineStr">
        <is>
          <t>-</t>
        </is>
      </c>
      <c r="S133" s="10" t="inlineStr">
        <is>
          <t>☐ Not Started</t>
        </is>
      </c>
      <c r="T133" s="10">
        <f>IF(S133="☑ Completed", "COMPLETED", "NOT STARTED")</f>
        <v/>
      </c>
      <c r="U133" s="9" t="inlineStr">
        <is>
          <t>Review Notes for Day 27</t>
        </is>
      </c>
    </row>
    <row r="134">
      <c r="A134" s="10" t="n">
        <v>27</v>
      </c>
      <c r="B134" s="10" t="inlineStr">
        <is>
          <t>2026-09-26</t>
        </is>
      </c>
      <c r="C134" s="10" t="n">
        <v>4</v>
      </c>
      <c r="D134" s="10" t="n">
        <v>1</v>
      </c>
      <c r="E134" s="9" t="inlineStr">
        <is>
          <t>Month 1</t>
        </is>
      </c>
      <c r="F134" s="9" t="inlineStr">
        <is>
          <t>SQL</t>
        </is>
      </c>
      <c r="G134" s="9" t="inlineStr">
        <is>
          <t>Joins &amp; Advanced</t>
        </is>
      </c>
      <c r="H134" s="9" t="inlineStr">
        <is>
          <t>CASE</t>
        </is>
      </c>
      <c r="I134" s="9" t="inlineStr">
        <is>
          <t>Master CASE</t>
        </is>
      </c>
      <c r="J134" s="9" t="inlineStr">
        <is>
          <t>30 min</t>
        </is>
      </c>
      <c r="K134" s="9" t="inlineStr">
        <is>
          <t>30 min</t>
        </is>
      </c>
      <c r="L134" s="9" t="inlineStr">
        <is>
          <t>Code/Implement CASE</t>
        </is>
      </c>
      <c r="M134" s="9" t="inlineStr">
        <is>
          <t>15 min</t>
        </is>
      </c>
      <c r="N134" s="9" t="inlineStr">
        <is>
          <t>Explain the difference between CASE and its alternatives.</t>
        </is>
      </c>
      <c r="O134" s="9" t="inlineStr">
        <is>
          <t>15 min</t>
        </is>
      </c>
      <c r="P134" s="9" t="inlineStr">
        <is>
          <t>Describe a business case for CASE.</t>
        </is>
      </c>
      <c r="Q134" s="9" t="inlineStr">
        <is>
          <t>Build/Refine code</t>
        </is>
      </c>
      <c r="R134" s="9" t="inlineStr">
        <is>
          <t>-</t>
        </is>
      </c>
      <c r="S134" s="10" t="inlineStr">
        <is>
          <t>☐ Not Started</t>
        </is>
      </c>
      <c r="T134" s="10">
        <f>IF(S134="☑ Completed", "COMPLETED", "NOT STARTED")</f>
        <v/>
      </c>
      <c r="U134" s="9" t="inlineStr">
        <is>
          <t>Review Notes for Day 27</t>
        </is>
      </c>
    </row>
    <row r="135">
      <c r="A135" s="10" t="n">
        <v>27</v>
      </c>
      <c r="B135" s="10" t="inlineStr">
        <is>
          <t>2026-09-26</t>
        </is>
      </c>
      <c r="C135" s="10" t="n">
        <v>4</v>
      </c>
      <c r="D135" s="10" t="n">
        <v>1</v>
      </c>
      <c r="E135" s="9" t="inlineStr">
        <is>
          <t>Month 1</t>
        </is>
      </c>
      <c r="F135" s="9" t="inlineStr">
        <is>
          <t>SQL</t>
        </is>
      </c>
      <c r="G135" s="9" t="inlineStr">
        <is>
          <t>Joins &amp; Advanced</t>
        </is>
      </c>
      <c r="H135" s="9" t="inlineStr">
        <is>
          <t>CTE</t>
        </is>
      </c>
      <c r="I135" s="9" t="inlineStr">
        <is>
          <t>Master CTE</t>
        </is>
      </c>
      <c r="J135" s="9" t="inlineStr">
        <is>
          <t>30 min</t>
        </is>
      </c>
      <c r="K135" s="9" t="inlineStr">
        <is>
          <t>30 min</t>
        </is>
      </c>
      <c r="L135" s="9" t="inlineStr">
        <is>
          <t>Code/Implement CTE</t>
        </is>
      </c>
      <c r="M135" s="9" t="inlineStr">
        <is>
          <t>15 min</t>
        </is>
      </c>
      <c r="N135" s="9" t="inlineStr">
        <is>
          <t>Explain the difference between CTE and its alternatives.</t>
        </is>
      </c>
      <c r="O135" s="9" t="inlineStr">
        <is>
          <t>15 min</t>
        </is>
      </c>
      <c r="P135" s="9" t="inlineStr">
        <is>
          <t>Describe a business case for CTE.</t>
        </is>
      </c>
      <c r="Q135" s="9" t="inlineStr">
        <is>
          <t>Build/Refine code</t>
        </is>
      </c>
      <c r="R135" s="9" t="inlineStr">
        <is>
          <t>-</t>
        </is>
      </c>
      <c r="S135" s="10" t="inlineStr">
        <is>
          <t>☐ Not Started</t>
        </is>
      </c>
      <c r="T135" s="10">
        <f>IF(S135="☑ Completed", "COMPLETED", "NOT STARTED")</f>
        <v/>
      </c>
      <c r="U135" s="9" t="inlineStr">
        <is>
          <t>Review Notes for Day 27</t>
        </is>
      </c>
    </row>
    <row r="136">
      <c r="A136" s="10" t="n">
        <v>27</v>
      </c>
      <c r="B136" s="10" t="inlineStr">
        <is>
          <t>2026-09-26</t>
        </is>
      </c>
      <c r="C136" s="10" t="n">
        <v>4</v>
      </c>
      <c r="D136" s="10" t="n">
        <v>1</v>
      </c>
      <c r="E136" s="9" t="inlineStr">
        <is>
          <t>Month 1</t>
        </is>
      </c>
      <c r="F136" s="9" t="inlineStr">
        <is>
          <t>SQL</t>
        </is>
      </c>
      <c r="G136" s="9" t="inlineStr">
        <is>
          <t>Joins &amp; Advanced</t>
        </is>
      </c>
      <c r="H136" s="9" t="inlineStr">
        <is>
          <t>Window functions</t>
        </is>
      </c>
      <c r="I136" s="9" t="inlineStr">
        <is>
          <t>Master Window functions</t>
        </is>
      </c>
      <c r="J136" s="9" t="inlineStr">
        <is>
          <t>30 min</t>
        </is>
      </c>
      <c r="K136" s="9" t="inlineStr">
        <is>
          <t>30 min</t>
        </is>
      </c>
      <c r="L136" s="9" t="inlineStr">
        <is>
          <t>Code/Implement Window functions</t>
        </is>
      </c>
      <c r="M136" s="9" t="inlineStr">
        <is>
          <t>15 min</t>
        </is>
      </c>
      <c r="N136" s="9" t="inlineStr">
        <is>
          <t>Explain the difference between Window functions and its alternatives.</t>
        </is>
      </c>
      <c r="O136" s="9" t="inlineStr">
        <is>
          <t>15 min</t>
        </is>
      </c>
      <c r="P136" s="9" t="inlineStr">
        <is>
          <t>Describe a business case for Window functions.</t>
        </is>
      </c>
      <c r="Q136" s="9" t="inlineStr">
        <is>
          <t>Build/Refine code</t>
        </is>
      </c>
      <c r="R136" s="9" t="inlineStr">
        <is>
          <t>-</t>
        </is>
      </c>
      <c r="S136" s="10" t="inlineStr">
        <is>
          <t>☐ Not Started</t>
        </is>
      </c>
      <c r="T136" s="10">
        <f>IF(S136="☑ Completed", "COMPLETED", "NOT STARTED")</f>
        <v/>
      </c>
      <c r="U136" s="9" t="inlineStr">
        <is>
          <t>Review Notes for Day 27</t>
        </is>
      </c>
    </row>
    <row r="137">
      <c r="A137" s="10" t="n">
        <v>28</v>
      </c>
      <c r="B137" s="10" t="inlineStr">
        <is>
          <t>2026-09-27</t>
        </is>
      </c>
      <c r="C137" s="10" t="n">
        <v>4</v>
      </c>
      <c r="D137" s="10" t="n">
        <v>1</v>
      </c>
      <c r="E137" s="9" t="inlineStr">
        <is>
          <t>Month 1</t>
        </is>
      </c>
      <c r="F137" s="9" t="inlineStr">
        <is>
          <t>SQL</t>
        </is>
      </c>
      <c r="G137" s="9" t="inlineStr">
        <is>
          <t>Joins &amp; Advanced</t>
        </is>
      </c>
      <c r="H137" s="9" t="inlineStr">
        <is>
          <t>ROW_NUMBER</t>
        </is>
      </c>
      <c r="I137" s="9" t="inlineStr">
        <is>
          <t>Master ROW_NUMBER</t>
        </is>
      </c>
      <c r="J137" s="9" t="inlineStr">
        <is>
          <t>45 min</t>
        </is>
      </c>
      <c r="K137" s="9" t="inlineStr">
        <is>
          <t>45 min</t>
        </is>
      </c>
      <c r="L137" s="9" t="inlineStr">
        <is>
          <t>Code/Implement ROW_NUMBER</t>
        </is>
      </c>
      <c r="M137" s="9" t="inlineStr">
        <is>
          <t>15 min</t>
        </is>
      </c>
      <c r="N137" s="9" t="inlineStr">
        <is>
          <t>Explain the difference between ROW_NUMBER and its alternatives.</t>
        </is>
      </c>
      <c r="O137" s="9" t="inlineStr">
        <is>
          <t>15 min</t>
        </is>
      </c>
      <c r="P137" s="9" t="inlineStr">
        <is>
          <t>Describe a business case for ROW_NUMBER.</t>
        </is>
      </c>
      <c r="Q137" s="9" t="inlineStr">
        <is>
          <t>Build/Refine code</t>
        </is>
      </c>
      <c r="R137" s="9" t="n">
        <v>8</v>
      </c>
      <c r="S137" s="10" t="inlineStr">
        <is>
          <t>☐ Not Started</t>
        </is>
      </c>
      <c r="T137" s="10">
        <f>IF(S137="☑ Completed", "COMPLETED", "NOT STARTED")</f>
        <v/>
      </c>
      <c r="U137" s="9" t="inlineStr">
        <is>
          <t>Review Notes for Day 28</t>
        </is>
      </c>
    </row>
    <row r="138">
      <c r="A138" s="10" t="n">
        <v>28</v>
      </c>
      <c r="B138" s="10" t="inlineStr">
        <is>
          <t>2026-09-27</t>
        </is>
      </c>
      <c r="C138" s="10" t="n">
        <v>4</v>
      </c>
      <c r="D138" s="10" t="n">
        <v>1</v>
      </c>
      <c r="E138" s="9" t="inlineStr">
        <is>
          <t>Month 1</t>
        </is>
      </c>
      <c r="F138" s="9" t="inlineStr">
        <is>
          <t>SQL</t>
        </is>
      </c>
      <c r="G138" s="9" t="inlineStr">
        <is>
          <t>Joins &amp; Advanced</t>
        </is>
      </c>
      <c r="H138" s="9" t="inlineStr">
        <is>
          <t>RANK</t>
        </is>
      </c>
      <c r="I138" s="9" t="inlineStr">
        <is>
          <t>Master RANK</t>
        </is>
      </c>
      <c r="J138" s="9" t="inlineStr">
        <is>
          <t>30 min</t>
        </is>
      </c>
      <c r="K138" s="9" t="inlineStr">
        <is>
          <t>30 min</t>
        </is>
      </c>
      <c r="L138" s="9" t="inlineStr">
        <is>
          <t>Code/Implement RANK</t>
        </is>
      </c>
      <c r="M138" s="9" t="inlineStr">
        <is>
          <t>15 min</t>
        </is>
      </c>
      <c r="N138" s="9" t="inlineStr">
        <is>
          <t>Explain the difference between RANK and its alternatives.</t>
        </is>
      </c>
      <c r="O138" s="9" t="inlineStr">
        <is>
          <t>15 min</t>
        </is>
      </c>
      <c r="P138" s="9" t="inlineStr">
        <is>
          <t>Describe a business case for RANK.</t>
        </is>
      </c>
      <c r="Q138" s="9" t="inlineStr">
        <is>
          <t>Build/Refine code</t>
        </is>
      </c>
      <c r="R138" s="9" t="inlineStr">
        <is>
          <t>-</t>
        </is>
      </c>
      <c r="S138" s="10" t="inlineStr">
        <is>
          <t>☐ Not Started</t>
        </is>
      </c>
      <c r="T138" s="10">
        <f>IF(S138="☑ Completed", "COMPLETED", "NOT STARTED")</f>
        <v/>
      </c>
      <c r="U138" s="9" t="inlineStr">
        <is>
          <t>Review Notes for Day 28</t>
        </is>
      </c>
    </row>
    <row r="139">
      <c r="A139" s="10" t="n">
        <v>28</v>
      </c>
      <c r="B139" s="10" t="inlineStr">
        <is>
          <t>2026-09-27</t>
        </is>
      </c>
      <c r="C139" s="10" t="n">
        <v>4</v>
      </c>
      <c r="D139" s="10" t="n">
        <v>1</v>
      </c>
      <c r="E139" s="9" t="inlineStr">
        <is>
          <t>Month 1</t>
        </is>
      </c>
      <c r="F139" s="9" t="inlineStr">
        <is>
          <t>SQL</t>
        </is>
      </c>
      <c r="G139" s="9" t="inlineStr">
        <is>
          <t>Joins &amp; Advanced</t>
        </is>
      </c>
      <c r="H139" s="9" t="inlineStr">
        <is>
          <t>DENSE_RANK</t>
        </is>
      </c>
      <c r="I139" s="9" t="inlineStr">
        <is>
          <t>Master DENSE_RANK</t>
        </is>
      </c>
      <c r="J139" s="9" t="inlineStr">
        <is>
          <t>30 min</t>
        </is>
      </c>
      <c r="K139" s="9" t="inlineStr">
        <is>
          <t>30 min</t>
        </is>
      </c>
      <c r="L139" s="9" t="inlineStr">
        <is>
          <t>Code/Implement DENSE_RANK</t>
        </is>
      </c>
      <c r="M139" s="9" t="inlineStr">
        <is>
          <t>15 min</t>
        </is>
      </c>
      <c r="N139" s="9" t="inlineStr">
        <is>
          <t>Explain the difference between DENSE_RANK and its alternatives.</t>
        </is>
      </c>
      <c r="O139" s="9" t="inlineStr">
        <is>
          <t>15 min</t>
        </is>
      </c>
      <c r="P139" s="9" t="inlineStr">
        <is>
          <t>Describe a business case for DENSE_RANK.</t>
        </is>
      </c>
      <c r="Q139" s="9" t="inlineStr">
        <is>
          <t>Build/Refine code</t>
        </is>
      </c>
      <c r="R139" s="9" t="inlineStr">
        <is>
          <t>-</t>
        </is>
      </c>
      <c r="S139" s="10" t="inlineStr">
        <is>
          <t>☐ Not Started</t>
        </is>
      </c>
      <c r="T139" s="10">
        <f>IF(S139="☑ Completed", "COMPLETED", "NOT STARTED")</f>
        <v/>
      </c>
      <c r="U139" s="9" t="inlineStr">
        <is>
          <t>Review Notes for Day 28</t>
        </is>
      </c>
    </row>
    <row r="140">
      <c r="A140" s="10" t="n">
        <v>28</v>
      </c>
      <c r="B140" s="10" t="inlineStr">
        <is>
          <t>2026-09-27</t>
        </is>
      </c>
      <c r="C140" s="10" t="n">
        <v>4</v>
      </c>
      <c r="D140" s="10" t="n">
        <v>1</v>
      </c>
      <c r="E140" s="9" t="inlineStr">
        <is>
          <t>Month 1</t>
        </is>
      </c>
      <c r="F140" s="9" t="inlineStr">
        <is>
          <t>Math</t>
        </is>
      </c>
      <c r="G140" s="9" t="inlineStr">
        <is>
          <t>Statistics</t>
        </is>
      </c>
      <c r="H140" s="9" t="inlineStr">
        <is>
          <t>Mean</t>
        </is>
      </c>
      <c r="I140" s="9" t="inlineStr">
        <is>
          <t>Master Mean</t>
        </is>
      </c>
      <c r="J140" s="9" t="inlineStr">
        <is>
          <t>30 min</t>
        </is>
      </c>
      <c r="K140" s="9" t="inlineStr">
        <is>
          <t>30 min</t>
        </is>
      </c>
      <c r="L140" s="9" t="inlineStr">
        <is>
          <t>Code/Implement Mean</t>
        </is>
      </c>
      <c r="M140" s="9" t="inlineStr">
        <is>
          <t>15 min</t>
        </is>
      </c>
      <c r="N140" s="9" t="inlineStr">
        <is>
          <t>How does Mean impact machine learning models?</t>
        </is>
      </c>
      <c r="O140" s="9" t="inlineStr">
        <is>
          <t>15 min</t>
        </is>
      </c>
      <c r="P140" s="9" t="inlineStr">
        <is>
          <t>Explain the mathematical intuition behind Mean.</t>
        </is>
      </c>
      <c r="Q140" s="9" t="inlineStr">
        <is>
          <t>Build/Refine code</t>
        </is>
      </c>
      <c r="R140" s="9" t="inlineStr">
        <is>
          <t>-</t>
        </is>
      </c>
      <c r="S140" s="10" t="inlineStr">
        <is>
          <t>☐ Not Started</t>
        </is>
      </c>
      <c r="T140" s="10">
        <f>IF(S140="☑ Completed", "COMPLETED", "NOT STARTED")</f>
        <v/>
      </c>
      <c r="U140" s="9" t="inlineStr">
        <is>
          <t>Review Notes for Day 28</t>
        </is>
      </c>
    </row>
    <row r="141">
      <c r="A141" s="10" t="n">
        <v>28</v>
      </c>
      <c r="B141" s="10" t="inlineStr">
        <is>
          <t>2026-09-27</t>
        </is>
      </c>
      <c r="C141" s="10" t="n">
        <v>4</v>
      </c>
      <c r="D141" s="10" t="n">
        <v>1</v>
      </c>
      <c r="E141" s="9" t="inlineStr">
        <is>
          <t>Month 1</t>
        </is>
      </c>
      <c r="F141" s="9" t="inlineStr">
        <is>
          <t>Math</t>
        </is>
      </c>
      <c r="G141" s="9" t="inlineStr">
        <is>
          <t>Statistics</t>
        </is>
      </c>
      <c r="H141" s="9" t="inlineStr">
        <is>
          <t>Median</t>
        </is>
      </c>
      <c r="I141" s="9" t="inlineStr">
        <is>
          <t>Master Median</t>
        </is>
      </c>
      <c r="J141" s="9" t="inlineStr">
        <is>
          <t>30 min</t>
        </is>
      </c>
      <c r="K141" s="9" t="inlineStr">
        <is>
          <t>30 min</t>
        </is>
      </c>
      <c r="L141" s="9" t="inlineStr">
        <is>
          <t>Code/Implement Median</t>
        </is>
      </c>
      <c r="M141" s="9" t="inlineStr">
        <is>
          <t>15 min</t>
        </is>
      </c>
      <c r="N141" s="9" t="inlineStr">
        <is>
          <t>How does Median impact machine learning models?</t>
        </is>
      </c>
      <c r="O141" s="9" t="inlineStr">
        <is>
          <t>15 min</t>
        </is>
      </c>
      <c r="P141" s="9" t="inlineStr">
        <is>
          <t>Explain the mathematical intuition behind Median.</t>
        </is>
      </c>
      <c r="Q141" s="9" t="inlineStr">
        <is>
          <t>Build/Refine code</t>
        </is>
      </c>
      <c r="R141" s="9" t="inlineStr">
        <is>
          <t>-</t>
        </is>
      </c>
      <c r="S141" s="10" t="inlineStr">
        <is>
          <t>☐ Not Started</t>
        </is>
      </c>
      <c r="T141" s="10">
        <f>IF(S141="☑ Completed", "COMPLETED", "NOT STARTED")</f>
        <v/>
      </c>
      <c r="U141" s="9" t="inlineStr">
        <is>
          <t>Review Notes for Day 28</t>
        </is>
      </c>
    </row>
    <row r="142">
      <c r="A142" s="10" t="n">
        <v>29</v>
      </c>
      <c r="B142" s="10" t="inlineStr">
        <is>
          <t>2026-09-28</t>
        </is>
      </c>
      <c r="C142" s="10" t="n">
        <v>5</v>
      </c>
      <c r="D142" s="10" t="n">
        <v>1</v>
      </c>
      <c r="E142" s="9" t="inlineStr">
        <is>
          <t>Month 1</t>
        </is>
      </c>
      <c r="F142" s="9" t="inlineStr">
        <is>
          <t>Math</t>
        </is>
      </c>
      <c r="G142" s="9" t="inlineStr">
        <is>
          <t>Statistics</t>
        </is>
      </c>
      <c r="H142" s="9" t="inlineStr">
        <is>
          <t>Mode</t>
        </is>
      </c>
      <c r="I142" s="9" t="inlineStr">
        <is>
          <t>Master Mode</t>
        </is>
      </c>
      <c r="J142" s="9" t="inlineStr">
        <is>
          <t>45 min</t>
        </is>
      </c>
      <c r="K142" s="9" t="inlineStr">
        <is>
          <t>45 min</t>
        </is>
      </c>
      <c r="L142" s="9" t="inlineStr">
        <is>
          <t>Code/Implement Mode</t>
        </is>
      </c>
      <c r="M142" s="9" t="inlineStr">
        <is>
          <t>15 min</t>
        </is>
      </c>
      <c r="N142" s="9" t="inlineStr">
        <is>
          <t>How does Mode impact machine learning models?</t>
        </is>
      </c>
      <c r="O142" s="9" t="inlineStr">
        <is>
          <t>15 min</t>
        </is>
      </c>
      <c r="P142" s="9" t="inlineStr">
        <is>
          <t>Explain the mathematical intuition behind Mode.</t>
        </is>
      </c>
      <c r="Q142" s="9" t="inlineStr">
        <is>
          <t>Build/Refine code</t>
        </is>
      </c>
      <c r="R142" s="9" t="n">
        <v>8</v>
      </c>
      <c r="S142" s="10" t="inlineStr">
        <is>
          <t>☐ Not Started</t>
        </is>
      </c>
      <c r="T142" s="10">
        <f>IF(S142="☑ Completed", "COMPLETED", "NOT STARTED")</f>
        <v/>
      </c>
      <c r="U142" s="9" t="inlineStr">
        <is>
          <t>Review Notes for Day 29</t>
        </is>
      </c>
    </row>
    <row r="143">
      <c r="A143" s="10" t="n">
        <v>29</v>
      </c>
      <c r="B143" s="10" t="inlineStr">
        <is>
          <t>2026-09-28</t>
        </is>
      </c>
      <c r="C143" s="10" t="n">
        <v>5</v>
      </c>
      <c r="D143" s="10" t="n">
        <v>1</v>
      </c>
      <c r="E143" s="9" t="inlineStr">
        <is>
          <t>Month 1</t>
        </is>
      </c>
      <c r="F143" s="9" t="inlineStr">
        <is>
          <t>Math</t>
        </is>
      </c>
      <c r="G143" s="9" t="inlineStr">
        <is>
          <t>Statistics</t>
        </is>
      </c>
      <c r="H143" s="9" t="inlineStr">
        <is>
          <t>Variance</t>
        </is>
      </c>
      <c r="I143" s="9" t="inlineStr">
        <is>
          <t>Master Variance</t>
        </is>
      </c>
      <c r="J143" s="9" t="inlineStr">
        <is>
          <t>30 min</t>
        </is>
      </c>
      <c r="K143" s="9" t="inlineStr">
        <is>
          <t>30 min</t>
        </is>
      </c>
      <c r="L143" s="9" t="inlineStr">
        <is>
          <t>Code/Implement Variance</t>
        </is>
      </c>
      <c r="M143" s="9" t="inlineStr">
        <is>
          <t>15 min</t>
        </is>
      </c>
      <c r="N143" s="9" t="inlineStr">
        <is>
          <t>How does Variance impact machine learning models?</t>
        </is>
      </c>
      <c r="O143" s="9" t="inlineStr">
        <is>
          <t>15 min</t>
        </is>
      </c>
      <c r="P143" s="9" t="inlineStr">
        <is>
          <t>Explain the mathematical intuition behind Variance.</t>
        </is>
      </c>
      <c r="Q143" s="9" t="inlineStr">
        <is>
          <t>Build/Refine code</t>
        </is>
      </c>
      <c r="R143" s="9" t="inlineStr">
        <is>
          <t>-</t>
        </is>
      </c>
      <c r="S143" s="10" t="inlineStr">
        <is>
          <t>☐ Not Started</t>
        </is>
      </c>
      <c r="T143" s="10">
        <f>IF(S143="☑ Completed", "COMPLETED", "NOT STARTED")</f>
        <v/>
      </c>
      <c r="U143" s="9" t="inlineStr">
        <is>
          <t>Review Notes for Day 29</t>
        </is>
      </c>
    </row>
    <row r="144">
      <c r="A144" s="10" t="n">
        <v>29</v>
      </c>
      <c r="B144" s="10" t="inlineStr">
        <is>
          <t>2026-09-28</t>
        </is>
      </c>
      <c r="C144" s="10" t="n">
        <v>5</v>
      </c>
      <c r="D144" s="10" t="n">
        <v>1</v>
      </c>
      <c r="E144" s="9" t="inlineStr">
        <is>
          <t>Month 1</t>
        </is>
      </c>
      <c r="F144" s="9" t="inlineStr">
        <is>
          <t>Math</t>
        </is>
      </c>
      <c r="G144" s="9" t="inlineStr">
        <is>
          <t>Statistics</t>
        </is>
      </c>
      <c r="H144" s="9" t="inlineStr">
        <is>
          <t>Standard deviation</t>
        </is>
      </c>
      <c r="I144" s="9" t="inlineStr">
        <is>
          <t>Master Standard deviation</t>
        </is>
      </c>
      <c r="J144" s="9" t="inlineStr">
        <is>
          <t>30 min</t>
        </is>
      </c>
      <c r="K144" s="9" t="inlineStr">
        <is>
          <t>30 min</t>
        </is>
      </c>
      <c r="L144" s="9" t="inlineStr">
        <is>
          <t>Code/Implement Standard deviation</t>
        </is>
      </c>
      <c r="M144" s="9" t="inlineStr">
        <is>
          <t>15 min</t>
        </is>
      </c>
      <c r="N144" s="9" t="inlineStr">
        <is>
          <t>How does Standard deviation impact machine learning models?</t>
        </is>
      </c>
      <c r="O144" s="9" t="inlineStr">
        <is>
          <t>15 min</t>
        </is>
      </c>
      <c r="P144" s="9" t="inlineStr">
        <is>
          <t>Explain the mathematical intuition behind Standard deviation.</t>
        </is>
      </c>
      <c r="Q144" s="9" t="inlineStr">
        <is>
          <t>Build/Refine code</t>
        </is>
      </c>
      <c r="R144" s="9" t="inlineStr">
        <is>
          <t>-</t>
        </is>
      </c>
      <c r="S144" s="10" t="inlineStr">
        <is>
          <t>☐ Not Started</t>
        </is>
      </c>
      <c r="T144" s="10">
        <f>IF(S144="☑ Completed", "COMPLETED", "NOT STARTED")</f>
        <v/>
      </c>
      <c r="U144" s="9" t="inlineStr">
        <is>
          <t>Review Notes for Day 29</t>
        </is>
      </c>
    </row>
    <row r="145">
      <c r="A145" s="10" t="n">
        <v>29</v>
      </c>
      <c r="B145" s="10" t="inlineStr">
        <is>
          <t>2026-09-28</t>
        </is>
      </c>
      <c r="C145" s="10" t="n">
        <v>5</v>
      </c>
      <c r="D145" s="10" t="n">
        <v>1</v>
      </c>
      <c r="E145" s="9" t="inlineStr">
        <is>
          <t>Month 1</t>
        </is>
      </c>
      <c r="F145" s="9" t="inlineStr">
        <is>
          <t>Math</t>
        </is>
      </c>
      <c r="G145" s="9" t="inlineStr">
        <is>
          <t>Statistics</t>
        </is>
      </c>
      <c r="H145" s="9" t="inlineStr">
        <is>
          <t>Probability</t>
        </is>
      </c>
      <c r="I145" s="9" t="inlineStr">
        <is>
          <t>Master Probability</t>
        </is>
      </c>
      <c r="J145" s="9" t="inlineStr">
        <is>
          <t>30 min</t>
        </is>
      </c>
      <c r="K145" s="9" t="inlineStr">
        <is>
          <t>30 min</t>
        </is>
      </c>
      <c r="L145" s="9" t="inlineStr">
        <is>
          <t>Code/Implement Probability</t>
        </is>
      </c>
      <c r="M145" s="9" t="inlineStr">
        <is>
          <t>15 min</t>
        </is>
      </c>
      <c r="N145" s="9" t="inlineStr">
        <is>
          <t>How does Probability impact machine learning models?</t>
        </is>
      </c>
      <c r="O145" s="9" t="inlineStr">
        <is>
          <t>15 min</t>
        </is>
      </c>
      <c r="P145" s="9" t="inlineStr">
        <is>
          <t>Explain the mathematical intuition behind Probability.</t>
        </is>
      </c>
      <c r="Q145" s="9" t="inlineStr">
        <is>
          <t>Build/Refine code</t>
        </is>
      </c>
      <c r="R145" s="9" t="inlineStr">
        <is>
          <t>-</t>
        </is>
      </c>
      <c r="S145" s="10" t="inlineStr">
        <is>
          <t>☐ Not Started</t>
        </is>
      </c>
      <c r="T145" s="10">
        <f>IF(S145="☑ Completed", "COMPLETED", "NOT STARTED")</f>
        <v/>
      </c>
      <c r="U145" s="9" t="inlineStr">
        <is>
          <t>Review Notes for Day 29</t>
        </is>
      </c>
    </row>
    <row r="146">
      <c r="A146" s="10" t="n">
        <v>29</v>
      </c>
      <c r="B146" s="10" t="inlineStr">
        <is>
          <t>2026-09-28</t>
        </is>
      </c>
      <c r="C146" s="10" t="n">
        <v>5</v>
      </c>
      <c r="D146" s="10" t="n">
        <v>1</v>
      </c>
      <c r="E146" s="9" t="inlineStr">
        <is>
          <t>Month 1</t>
        </is>
      </c>
      <c r="F146" s="9" t="inlineStr">
        <is>
          <t>Math</t>
        </is>
      </c>
      <c r="G146" s="9" t="inlineStr">
        <is>
          <t>Statistics</t>
        </is>
      </c>
      <c r="H146" s="9" t="inlineStr">
        <is>
          <t>Conditional probability</t>
        </is>
      </c>
      <c r="I146" s="9" t="inlineStr">
        <is>
          <t>Master Conditional probability</t>
        </is>
      </c>
      <c r="J146" s="9" t="inlineStr">
        <is>
          <t>30 min</t>
        </is>
      </c>
      <c r="K146" s="9" t="inlineStr">
        <is>
          <t>30 min</t>
        </is>
      </c>
      <c r="L146" s="9" t="inlineStr">
        <is>
          <t>Code/Implement Conditional probability</t>
        </is>
      </c>
      <c r="M146" s="9" t="inlineStr">
        <is>
          <t>15 min</t>
        </is>
      </c>
      <c r="N146" s="9" t="inlineStr">
        <is>
          <t>How does Conditional probability impact machine learning models?</t>
        </is>
      </c>
      <c r="O146" s="9" t="inlineStr">
        <is>
          <t>15 min</t>
        </is>
      </c>
      <c r="P146" s="9" t="inlineStr">
        <is>
          <t>Explain the mathematical intuition behind Conditional probability.</t>
        </is>
      </c>
      <c r="Q146" s="9" t="inlineStr">
        <is>
          <t>Build/Refine code</t>
        </is>
      </c>
      <c r="R146" s="9" t="inlineStr">
        <is>
          <t>-</t>
        </is>
      </c>
      <c r="S146" s="10" t="inlineStr">
        <is>
          <t>☐ Not Started</t>
        </is>
      </c>
      <c r="T146" s="10">
        <f>IF(S146="☑ Completed", "COMPLETED", "NOT STARTED")</f>
        <v/>
      </c>
      <c r="U146" s="9" t="inlineStr">
        <is>
          <t>Review Notes for Day 29</t>
        </is>
      </c>
    </row>
    <row r="147">
      <c r="A147" s="10" t="n">
        <v>30</v>
      </c>
      <c r="B147" s="10" t="inlineStr">
        <is>
          <t>2026-09-29</t>
        </is>
      </c>
      <c r="C147" s="10" t="n">
        <v>5</v>
      </c>
      <c r="D147" s="10" t="n">
        <v>1</v>
      </c>
      <c r="E147" s="9" t="inlineStr">
        <is>
          <t>Month 1</t>
        </is>
      </c>
      <c r="F147" s="9" t="inlineStr">
        <is>
          <t>Math</t>
        </is>
      </c>
      <c r="G147" s="9" t="inlineStr">
        <is>
          <t>Statistics</t>
        </is>
      </c>
      <c r="H147" s="9" t="inlineStr">
        <is>
          <t>Bayes theorem</t>
        </is>
      </c>
      <c r="I147" s="9" t="inlineStr">
        <is>
          <t>Master Bayes theorem</t>
        </is>
      </c>
      <c r="J147" s="9" t="inlineStr">
        <is>
          <t>45 min</t>
        </is>
      </c>
      <c r="K147" s="9" t="inlineStr">
        <is>
          <t>45 min</t>
        </is>
      </c>
      <c r="L147" s="9" t="inlineStr">
        <is>
          <t>Code/Implement Bayes theorem</t>
        </is>
      </c>
      <c r="M147" s="9" t="inlineStr">
        <is>
          <t>15 min</t>
        </is>
      </c>
      <c r="N147" s="9" t="inlineStr">
        <is>
          <t>How does Bayes theorem impact machine learning models?</t>
        </is>
      </c>
      <c r="O147" s="9" t="inlineStr">
        <is>
          <t>15 min</t>
        </is>
      </c>
      <c r="P147" s="9" t="inlineStr">
        <is>
          <t>Explain the mathematical intuition behind Bayes theorem.</t>
        </is>
      </c>
      <c r="Q147" s="9" t="inlineStr">
        <is>
          <t>Build/Refine code</t>
        </is>
      </c>
      <c r="R147" s="9" t="n">
        <v>8</v>
      </c>
      <c r="S147" s="10" t="inlineStr">
        <is>
          <t>☐ Not Started</t>
        </is>
      </c>
      <c r="T147" s="10">
        <f>IF(S147="☑ Completed", "COMPLETED", "NOT STARTED")</f>
        <v/>
      </c>
      <c r="U147" s="9" t="inlineStr">
        <is>
          <t>Review Notes for Day 30</t>
        </is>
      </c>
    </row>
    <row r="148">
      <c r="A148" s="10" t="n">
        <v>30</v>
      </c>
      <c r="B148" s="10" t="inlineStr">
        <is>
          <t>2026-09-29</t>
        </is>
      </c>
      <c r="C148" s="10" t="n">
        <v>5</v>
      </c>
      <c r="D148" s="10" t="n">
        <v>1</v>
      </c>
      <c r="E148" s="9" t="inlineStr">
        <is>
          <t>Month 1</t>
        </is>
      </c>
      <c r="F148" s="9" t="inlineStr">
        <is>
          <t>Math</t>
        </is>
      </c>
      <c r="G148" s="9" t="inlineStr">
        <is>
          <t>Statistics</t>
        </is>
      </c>
      <c r="H148" s="9" t="inlineStr">
        <is>
          <t>Correlation</t>
        </is>
      </c>
      <c r="I148" s="9" t="inlineStr">
        <is>
          <t>Master Correlation</t>
        </is>
      </c>
      <c r="J148" s="9" t="inlineStr">
        <is>
          <t>30 min</t>
        </is>
      </c>
      <c r="K148" s="9" t="inlineStr">
        <is>
          <t>30 min</t>
        </is>
      </c>
      <c r="L148" s="9" t="inlineStr">
        <is>
          <t>Code/Implement Correlation</t>
        </is>
      </c>
      <c r="M148" s="9" t="inlineStr">
        <is>
          <t>15 min</t>
        </is>
      </c>
      <c r="N148" s="9" t="inlineStr">
        <is>
          <t>How does Correlation impact machine learning models?</t>
        </is>
      </c>
      <c r="O148" s="9" t="inlineStr">
        <is>
          <t>15 min</t>
        </is>
      </c>
      <c r="P148" s="9" t="inlineStr">
        <is>
          <t>Explain the mathematical intuition behind Correlation.</t>
        </is>
      </c>
      <c r="Q148" s="9" t="inlineStr">
        <is>
          <t>Build/Refine code</t>
        </is>
      </c>
      <c r="R148" s="9" t="inlineStr">
        <is>
          <t>-</t>
        </is>
      </c>
      <c r="S148" s="10" t="inlineStr">
        <is>
          <t>☐ Not Started</t>
        </is>
      </c>
      <c r="T148" s="10">
        <f>IF(S148="☑ Completed", "COMPLETED", "NOT STARTED")</f>
        <v/>
      </c>
      <c r="U148" s="9" t="inlineStr">
        <is>
          <t>Review Notes for Day 30</t>
        </is>
      </c>
    </row>
    <row r="149">
      <c r="A149" s="10" t="n">
        <v>30</v>
      </c>
      <c r="B149" s="10" t="inlineStr">
        <is>
          <t>2026-09-29</t>
        </is>
      </c>
      <c r="C149" s="10" t="n">
        <v>5</v>
      </c>
      <c r="D149" s="10" t="n">
        <v>1</v>
      </c>
      <c r="E149" s="9" t="inlineStr">
        <is>
          <t>Month 1</t>
        </is>
      </c>
      <c r="F149" s="9" t="inlineStr">
        <is>
          <t>Math</t>
        </is>
      </c>
      <c r="G149" s="9" t="inlineStr">
        <is>
          <t>Statistics</t>
        </is>
      </c>
      <c r="H149" s="9" t="inlineStr">
        <is>
          <t>Covariance</t>
        </is>
      </c>
      <c r="I149" s="9" t="inlineStr">
        <is>
          <t>Master Covariance</t>
        </is>
      </c>
      <c r="J149" s="9" t="inlineStr">
        <is>
          <t>30 min</t>
        </is>
      </c>
      <c r="K149" s="9" t="inlineStr">
        <is>
          <t>30 min</t>
        </is>
      </c>
      <c r="L149" s="9" t="inlineStr">
        <is>
          <t>Code/Implement Covariance</t>
        </is>
      </c>
      <c r="M149" s="9" t="inlineStr">
        <is>
          <t>15 min</t>
        </is>
      </c>
      <c r="N149" s="9" t="inlineStr">
        <is>
          <t>How does Covariance impact machine learning models?</t>
        </is>
      </c>
      <c r="O149" s="9" t="inlineStr">
        <is>
          <t>15 min</t>
        </is>
      </c>
      <c r="P149" s="9" t="inlineStr">
        <is>
          <t>Explain the mathematical intuition behind Covariance.</t>
        </is>
      </c>
      <c r="Q149" s="9" t="inlineStr">
        <is>
          <t>Build/Refine code</t>
        </is>
      </c>
      <c r="R149" s="9" t="inlineStr">
        <is>
          <t>-</t>
        </is>
      </c>
      <c r="S149" s="10" t="inlineStr">
        <is>
          <t>☐ Not Started</t>
        </is>
      </c>
      <c r="T149" s="10">
        <f>IF(S149="☑ Completed", "COMPLETED", "NOT STARTED")</f>
        <v/>
      </c>
      <c r="U149" s="9" t="inlineStr">
        <is>
          <t>Review Notes for Day 30</t>
        </is>
      </c>
    </row>
    <row r="150">
      <c r="A150" s="10" t="n">
        <v>30</v>
      </c>
      <c r="B150" s="10" t="inlineStr">
        <is>
          <t>2026-09-29</t>
        </is>
      </c>
      <c r="C150" s="10" t="n">
        <v>5</v>
      </c>
      <c r="D150" s="10" t="n">
        <v>1</v>
      </c>
      <c r="E150" s="9" t="inlineStr">
        <is>
          <t>Month 1</t>
        </is>
      </c>
      <c r="F150" s="9" t="inlineStr">
        <is>
          <t>Math</t>
        </is>
      </c>
      <c r="G150" s="9" t="inlineStr">
        <is>
          <t>Algebra &amp; Calculus</t>
        </is>
      </c>
      <c r="H150" s="9" t="inlineStr">
        <is>
          <t>Vectors</t>
        </is>
      </c>
      <c r="I150" s="9" t="inlineStr">
        <is>
          <t>Master Vectors</t>
        </is>
      </c>
      <c r="J150" s="9" t="inlineStr">
        <is>
          <t>30 min</t>
        </is>
      </c>
      <c r="K150" s="9" t="inlineStr">
        <is>
          <t>30 min</t>
        </is>
      </c>
      <c r="L150" s="9" t="inlineStr">
        <is>
          <t>Code/Implement Vectors</t>
        </is>
      </c>
      <c r="M150" s="9" t="inlineStr">
        <is>
          <t>15 min</t>
        </is>
      </c>
      <c r="N150" s="9" t="inlineStr">
        <is>
          <t>What is the geometric interpretation of Vectors?</t>
        </is>
      </c>
      <c r="O150" s="9" t="inlineStr">
        <is>
          <t>15 min</t>
        </is>
      </c>
      <c r="P150" s="9" t="inlineStr">
        <is>
          <t>Summarize how Vectors is used in optimization.</t>
        </is>
      </c>
      <c r="Q150" s="9" t="inlineStr">
        <is>
          <t>Build/Refine code</t>
        </is>
      </c>
      <c r="R150" s="9" t="inlineStr">
        <is>
          <t>-</t>
        </is>
      </c>
      <c r="S150" s="10" t="inlineStr">
        <is>
          <t>☐ Not Started</t>
        </is>
      </c>
      <c r="T150" s="10">
        <f>IF(S150="☑ Completed", "COMPLETED", "NOT STARTED")</f>
        <v/>
      </c>
      <c r="U150" s="9" t="inlineStr">
        <is>
          <t>Review Notes for Day 30</t>
        </is>
      </c>
    </row>
    <row r="151">
      <c r="A151" s="10" t="n">
        <v>30</v>
      </c>
      <c r="B151" s="10" t="inlineStr">
        <is>
          <t>2026-09-29</t>
        </is>
      </c>
      <c r="C151" s="10" t="n">
        <v>5</v>
      </c>
      <c r="D151" s="10" t="n">
        <v>1</v>
      </c>
      <c r="E151" s="9" t="inlineStr">
        <is>
          <t>Month 1</t>
        </is>
      </c>
      <c r="F151" s="9" t="inlineStr">
        <is>
          <t>Math</t>
        </is>
      </c>
      <c r="G151" s="9" t="inlineStr">
        <is>
          <t>Algebra &amp; Calculus</t>
        </is>
      </c>
      <c r="H151" s="9" t="inlineStr">
        <is>
          <t>Matrices</t>
        </is>
      </c>
      <c r="I151" s="9" t="inlineStr">
        <is>
          <t>Master Matrices</t>
        </is>
      </c>
      <c r="J151" s="9" t="inlineStr">
        <is>
          <t>30 min</t>
        </is>
      </c>
      <c r="K151" s="9" t="inlineStr">
        <is>
          <t>30 min</t>
        </is>
      </c>
      <c r="L151" s="9" t="inlineStr">
        <is>
          <t>Code/Implement Matrices</t>
        </is>
      </c>
      <c r="M151" s="9" t="inlineStr">
        <is>
          <t>15 min</t>
        </is>
      </c>
      <c r="N151" s="9" t="inlineStr">
        <is>
          <t>What is the geometric interpretation of Matrices?</t>
        </is>
      </c>
      <c r="O151" s="9" t="inlineStr">
        <is>
          <t>15 min</t>
        </is>
      </c>
      <c r="P151" s="9" t="inlineStr">
        <is>
          <t>Summarize how Matrices is used in optimization.</t>
        </is>
      </c>
      <c r="Q151" s="9" t="inlineStr">
        <is>
          <t>Build/Refine code</t>
        </is>
      </c>
      <c r="R151" s="9" t="inlineStr">
        <is>
          <t>-</t>
        </is>
      </c>
      <c r="S151" s="10" t="inlineStr">
        <is>
          <t>☐ Not Started</t>
        </is>
      </c>
      <c r="T151" s="10">
        <f>IF(S151="☑ Completed", "COMPLETED", "NOT STARTED")</f>
        <v/>
      </c>
      <c r="U151" s="9" t="inlineStr">
        <is>
          <t>Review Notes for Day 30</t>
        </is>
      </c>
    </row>
    <row r="152">
      <c r="A152" s="10" t="n">
        <v>31</v>
      </c>
      <c r="B152" s="10" t="inlineStr">
        <is>
          <t>2026-09-30</t>
        </is>
      </c>
      <c r="C152" s="10" t="n">
        <v>5</v>
      </c>
      <c r="D152" s="10" t="n">
        <v>2</v>
      </c>
      <c r="E152" s="9" t="inlineStr">
        <is>
          <t>Month 1</t>
        </is>
      </c>
      <c r="F152" s="9" t="inlineStr">
        <is>
          <t>Math</t>
        </is>
      </c>
      <c r="G152" s="9" t="inlineStr">
        <is>
          <t>Algebra &amp; Calculus</t>
        </is>
      </c>
      <c r="H152" s="9" t="inlineStr">
        <is>
          <t>Dot product</t>
        </is>
      </c>
      <c r="I152" s="9" t="inlineStr">
        <is>
          <t>Master Dot product</t>
        </is>
      </c>
      <c r="J152" s="9" t="inlineStr">
        <is>
          <t>45 min</t>
        </is>
      </c>
      <c r="K152" s="9" t="inlineStr">
        <is>
          <t>45 min</t>
        </is>
      </c>
      <c r="L152" s="9" t="inlineStr">
        <is>
          <t>Code/Implement Dot product</t>
        </is>
      </c>
      <c r="M152" s="9" t="inlineStr">
        <is>
          <t>15 min</t>
        </is>
      </c>
      <c r="N152" s="9" t="inlineStr">
        <is>
          <t>What is the geometric interpretation of Dot product?</t>
        </is>
      </c>
      <c r="O152" s="9" t="inlineStr">
        <is>
          <t>15 min</t>
        </is>
      </c>
      <c r="P152" s="9" t="inlineStr">
        <is>
          <t>Summarize how Dot product is used in optimization.</t>
        </is>
      </c>
      <c r="Q152" s="9" t="inlineStr">
        <is>
          <t>Build/Refine code</t>
        </is>
      </c>
      <c r="R152" s="9" t="n">
        <v>12</v>
      </c>
      <c r="S152" s="10" t="inlineStr">
        <is>
          <t>☐ Not Started</t>
        </is>
      </c>
      <c r="T152" s="10">
        <f>IF(S152="☑ Completed", "COMPLETED", "NOT STARTED")</f>
        <v/>
      </c>
      <c r="U152" s="9" t="inlineStr">
        <is>
          <t>Review Notes for Day 31</t>
        </is>
      </c>
    </row>
    <row r="153">
      <c r="A153" s="10" t="n">
        <v>31</v>
      </c>
      <c r="B153" s="10" t="inlineStr">
        <is>
          <t>2026-09-30</t>
        </is>
      </c>
      <c r="C153" s="10" t="n">
        <v>5</v>
      </c>
      <c r="D153" s="10" t="n">
        <v>2</v>
      </c>
      <c r="E153" s="9" t="inlineStr">
        <is>
          <t>Month 1</t>
        </is>
      </c>
      <c r="F153" s="9" t="inlineStr">
        <is>
          <t>Math</t>
        </is>
      </c>
      <c r="G153" s="9" t="inlineStr">
        <is>
          <t>Algebra &amp; Calculus</t>
        </is>
      </c>
      <c r="H153" s="9" t="inlineStr">
        <is>
          <t>Transpose</t>
        </is>
      </c>
      <c r="I153" s="9" t="inlineStr">
        <is>
          <t>Master Transpose</t>
        </is>
      </c>
      <c r="J153" s="9" t="inlineStr">
        <is>
          <t>30 min</t>
        </is>
      </c>
      <c r="K153" s="9" t="inlineStr">
        <is>
          <t>30 min</t>
        </is>
      </c>
      <c r="L153" s="9" t="inlineStr">
        <is>
          <t>Code/Implement Transpose</t>
        </is>
      </c>
      <c r="M153" s="9" t="inlineStr">
        <is>
          <t>15 min</t>
        </is>
      </c>
      <c r="N153" s="9" t="inlineStr">
        <is>
          <t>What is the geometric interpretation of Transpose?</t>
        </is>
      </c>
      <c r="O153" s="9" t="inlineStr">
        <is>
          <t>15 min</t>
        </is>
      </c>
      <c r="P153" s="9" t="inlineStr">
        <is>
          <t>Summarize how Transpose is used in optimization.</t>
        </is>
      </c>
      <c r="Q153" s="9" t="inlineStr">
        <is>
          <t>Build/Refine code</t>
        </is>
      </c>
      <c r="R153" s="9" t="inlineStr">
        <is>
          <t>-</t>
        </is>
      </c>
      <c r="S153" s="10" t="inlineStr">
        <is>
          <t>☐ Not Started</t>
        </is>
      </c>
      <c r="T153" s="10">
        <f>IF(S153="☑ Completed", "COMPLETED", "NOT STARTED")</f>
        <v/>
      </c>
      <c r="U153" s="9" t="inlineStr">
        <is>
          <t>Review Notes for Day 31</t>
        </is>
      </c>
    </row>
    <row r="154">
      <c r="A154" s="10" t="n">
        <v>31</v>
      </c>
      <c r="B154" s="10" t="inlineStr">
        <is>
          <t>2026-09-30</t>
        </is>
      </c>
      <c r="C154" s="10" t="n">
        <v>5</v>
      </c>
      <c r="D154" s="10" t="n">
        <v>2</v>
      </c>
      <c r="E154" s="9" t="inlineStr">
        <is>
          <t>Month 1</t>
        </is>
      </c>
      <c r="F154" s="9" t="inlineStr">
        <is>
          <t>Math</t>
        </is>
      </c>
      <c r="G154" s="9" t="inlineStr">
        <is>
          <t>Algebra &amp; Calculus</t>
        </is>
      </c>
      <c r="H154" s="9" t="inlineStr">
        <is>
          <t>Derivative</t>
        </is>
      </c>
      <c r="I154" s="9" t="inlineStr">
        <is>
          <t>Master Derivative</t>
        </is>
      </c>
      <c r="J154" s="9" t="inlineStr">
        <is>
          <t>30 min</t>
        </is>
      </c>
      <c r="K154" s="9" t="inlineStr">
        <is>
          <t>30 min</t>
        </is>
      </c>
      <c r="L154" s="9" t="inlineStr">
        <is>
          <t>Code/Implement Derivative</t>
        </is>
      </c>
      <c r="M154" s="9" t="inlineStr">
        <is>
          <t>15 min</t>
        </is>
      </c>
      <c r="N154" s="9" t="inlineStr">
        <is>
          <t>What is the geometric interpretation of Derivative?</t>
        </is>
      </c>
      <c r="O154" s="9" t="inlineStr">
        <is>
          <t>15 min</t>
        </is>
      </c>
      <c r="P154" s="9" t="inlineStr">
        <is>
          <t>Summarize how Derivative is used in optimization.</t>
        </is>
      </c>
      <c r="Q154" s="9" t="inlineStr">
        <is>
          <t>Build/Refine code</t>
        </is>
      </c>
      <c r="R154" s="9" t="inlineStr">
        <is>
          <t>-</t>
        </is>
      </c>
      <c r="S154" s="10" t="inlineStr">
        <is>
          <t>☐ Not Started</t>
        </is>
      </c>
      <c r="T154" s="10">
        <f>IF(S154="☑ Completed", "COMPLETED", "NOT STARTED")</f>
        <v/>
      </c>
      <c r="U154" s="9" t="inlineStr">
        <is>
          <t>Review Notes for Day 31</t>
        </is>
      </c>
    </row>
    <row r="155">
      <c r="A155" s="10" t="n">
        <v>31</v>
      </c>
      <c r="B155" s="10" t="inlineStr">
        <is>
          <t>2026-09-30</t>
        </is>
      </c>
      <c r="C155" s="10" t="n">
        <v>5</v>
      </c>
      <c r="D155" s="10" t="n">
        <v>2</v>
      </c>
      <c r="E155" s="9" t="inlineStr">
        <is>
          <t>Month 1</t>
        </is>
      </c>
      <c r="F155" s="9" t="inlineStr">
        <is>
          <t>Math</t>
        </is>
      </c>
      <c r="G155" s="9" t="inlineStr">
        <is>
          <t>Algebra &amp; Calculus</t>
        </is>
      </c>
      <c r="H155" s="9" t="inlineStr">
        <is>
          <t>Gradient</t>
        </is>
      </c>
      <c r="I155" s="9" t="inlineStr">
        <is>
          <t>Master Gradient</t>
        </is>
      </c>
      <c r="J155" s="9" t="inlineStr">
        <is>
          <t>30 min</t>
        </is>
      </c>
      <c r="K155" s="9" t="inlineStr">
        <is>
          <t>30 min</t>
        </is>
      </c>
      <c r="L155" s="9" t="inlineStr">
        <is>
          <t>Code/Implement Gradient</t>
        </is>
      </c>
      <c r="M155" s="9" t="inlineStr">
        <is>
          <t>15 min</t>
        </is>
      </c>
      <c r="N155" s="9" t="inlineStr">
        <is>
          <t>What is the geometric interpretation of Gradient?</t>
        </is>
      </c>
      <c r="O155" s="9" t="inlineStr">
        <is>
          <t>15 min</t>
        </is>
      </c>
      <c r="P155" s="9" t="inlineStr">
        <is>
          <t>Summarize how Gradient is used in optimization.</t>
        </is>
      </c>
      <c r="Q155" s="9" t="inlineStr">
        <is>
          <t>Build/Refine code</t>
        </is>
      </c>
      <c r="R155" s="9" t="inlineStr">
        <is>
          <t>-</t>
        </is>
      </c>
      <c r="S155" s="10" t="inlineStr">
        <is>
          <t>☐ Not Started</t>
        </is>
      </c>
      <c r="T155" s="10">
        <f>IF(S155="☑ Completed", "COMPLETED", "NOT STARTED")</f>
        <v/>
      </c>
      <c r="U155" s="9" t="inlineStr">
        <is>
          <t>Review Notes for Day 31</t>
        </is>
      </c>
    </row>
    <row r="156">
      <c r="A156" s="10" t="n">
        <v>31</v>
      </c>
      <c r="B156" s="10" t="inlineStr">
        <is>
          <t>2026-09-30</t>
        </is>
      </c>
      <c r="C156" s="10" t="n">
        <v>5</v>
      </c>
      <c r="D156" s="10" t="n">
        <v>2</v>
      </c>
      <c r="E156" s="9" t="inlineStr">
        <is>
          <t>Month 1</t>
        </is>
      </c>
      <c r="F156" s="9" t="inlineStr">
        <is>
          <t>Math</t>
        </is>
      </c>
      <c r="G156" s="9" t="inlineStr">
        <is>
          <t>Algebra &amp; Calculus</t>
        </is>
      </c>
      <c r="H156" s="9" t="inlineStr">
        <is>
          <t>Gradient descent</t>
        </is>
      </c>
      <c r="I156" s="9" t="inlineStr">
        <is>
          <t>Master Gradient descent</t>
        </is>
      </c>
      <c r="J156" s="9" t="inlineStr">
        <is>
          <t>30 min</t>
        </is>
      </c>
      <c r="K156" s="9" t="inlineStr">
        <is>
          <t>30 min</t>
        </is>
      </c>
      <c r="L156" s="9" t="inlineStr">
        <is>
          <t>Code/Implement Gradient descent</t>
        </is>
      </c>
      <c r="M156" s="9" t="inlineStr">
        <is>
          <t>15 min</t>
        </is>
      </c>
      <c r="N156" s="9" t="inlineStr">
        <is>
          <t>What is the geometric interpretation of Gradient descent?</t>
        </is>
      </c>
      <c r="O156" s="9" t="inlineStr">
        <is>
          <t>15 min</t>
        </is>
      </c>
      <c r="P156" s="9" t="inlineStr">
        <is>
          <t>Summarize how Gradient descent is used in optimization.</t>
        </is>
      </c>
      <c r="Q156" s="9" t="inlineStr">
        <is>
          <t>Build/Refine code</t>
        </is>
      </c>
      <c r="R156" s="9" t="inlineStr">
        <is>
          <t>-</t>
        </is>
      </c>
      <c r="S156" s="10" t="inlineStr">
        <is>
          <t>☐ Not Started</t>
        </is>
      </c>
      <c r="T156" s="10">
        <f>IF(S156="☑ Completed", "COMPLETED", "NOT STARTED")</f>
        <v/>
      </c>
      <c r="U156" s="9" t="inlineStr">
        <is>
          <t>Review Notes for Day 31</t>
        </is>
      </c>
    </row>
    <row r="157">
      <c r="A157" s="10" t="n">
        <v>32</v>
      </c>
      <c r="B157" s="10" t="inlineStr">
        <is>
          <t>2026-10-01</t>
        </is>
      </c>
      <c r="C157" s="10" t="n">
        <v>5</v>
      </c>
      <c r="D157" s="10" t="n">
        <v>2</v>
      </c>
      <c r="E157" s="9" t="inlineStr">
        <is>
          <t>Month 1</t>
        </is>
      </c>
      <c r="F157" s="9" t="inlineStr">
        <is>
          <t>Machine Learning</t>
        </is>
      </c>
      <c r="G157" s="9" t="inlineStr">
        <is>
          <t>Concepts</t>
        </is>
      </c>
      <c r="H157" s="9" t="inlineStr">
        <is>
          <t>What is ML</t>
        </is>
      </c>
      <c r="I157" s="9" t="inlineStr">
        <is>
          <t>Master What is ML</t>
        </is>
      </c>
      <c r="J157" s="9" t="inlineStr">
        <is>
          <t>45 min</t>
        </is>
      </c>
      <c r="K157" s="9" t="inlineStr">
        <is>
          <t>45 min</t>
        </is>
      </c>
      <c r="L157" s="9" t="inlineStr">
        <is>
          <t>Code/Implement What is ML</t>
        </is>
      </c>
      <c r="M157" s="9" t="inlineStr">
        <is>
          <t>15 min</t>
        </is>
      </c>
      <c r="N157" s="9" t="inlineStr">
        <is>
          <t>How do you identify and fix What is ML?</t>
        </is>
      </c>
      <c r="O157" s="9" t="inlineStr">
        <is>
          <t>15 min</t>
        </is>
      </c>
      <c r="P157" s="9" t="inlineStr">
        <is>
          <t>Explain What is ML to a business stakeholder.</t>
        </is>
      </c>
      <c r="Q157" s="9" t="inlineStr">
        <is>
          <t>Build/Refine code</t>
        </is>
      </c>
      <c r="R157" s="9" t="n">
        <v>12</v>
      </c>
      <c r="S157" s="10" t="inlineStr">
        <is>
          <t>☐ Not Started</t>
        </is>
      </c>
      <c r="T157" s="10">
        <f>IF(S157="☑ Completed", "COMPLETED", "NOT STARTED")</f>
        <v/>
      </c>
      <c r="U157" s="9" t="inlineStr">
        <is>
          <t>Review Notes for Day 32</t>
        </is>
      </c>
    </row>
    <row r="158">
      <c r="A158" s="10" t="n">
        <v>32</v>
      </c>
      <c r="B158" s="10" t="inlineStr">
        <is>
          <t>2026-10-01</t>
        </is>
      </c>
      <c r="C158" s="10" t="n">
        <v>5</v>
      </c>
      <c r="D158" s="10" t="n">
        <v>2</v>
      </c>
      <c r="E158" s="9" t="inlineStr">
        <is>
          <t>Month 1</t>
        </is>
      </c>
      <c r="F158" s="9" t="inlineStr">
        <is>
          <t>Machine Learning</t>
        </is>
      </c>
      <c r="G158" s="9" t="inlineStr">
        <is>
          <t>Concepts</t>
        </is>
      </c>
      <c r="H158" s="9" t="inlineStr">
        <is>
          <t>Supervised learning</t>
        </is>
      </c>
      <c r="I158" s="9" t="inlineStr">
        <is>
          <t>Master Supervised learning</t>
        </is>
      </c>
      <c r="J158" s="9" t="inlineStr">
        <is>
          <t>30 min</t>
        </is>
      </c>
      <c r="K158" s="9" t="inlineStr">
        <is>
          <t>30 min</t>
        </is>
      </c>
      <c r="L158" s="9" t="inlineStr">
        <is>
          <t>Code/Implement Supervised learning</t>
        </is>
      </c>
      <c r="M158" s="9" t="inlineStr">
        <is>
          <t>15 min</t>
        </is>
      </c>
      <c r="N158" s="9" t="inlineStr">
        <is>
          <t>How do you identify and fix Supervised learning?</t>
        </is>
      </c>
      <c r="O158" s="9" t="inlineStr">
        <is>
          <t>15 min</t>
        </is>
      </c>
      <c r="P158" s="9" t="inlineStr">
        <is>
          <t>Explain Supervised learning to a business stakeholder.</t>
        </is>
      </c>
      <c r="Q158" s="9" t="inlineStr">
        <is>
          <t>Build/Refine code</t>
        </is>
      </c>
      <c r="R158" s="9" t="inlineStr">
        <is>
          <t>-</t>
        </is>
      </c>
      <c r="S158" s="10" t="inlineStr">
        <is>
          <t>☐ Not Started</t>
        </is>
      </c>
      <c r="T158" s="10">
        <f>IF(S158="☑ Completed", "COMPLETED", "NOT STARTED")</f>
        <v/>
      </c>
      <c r="U158" s="9" t="inlineStr">
        <is>
          <t>Review Notes for Day 32</t>
        </is>
      </c>
    </row>
    <row r="159">
      <c r="A159" s="10" t="n">
        <v>32</v>
      </c>
      <c r="B159" s="10" t="inlineStr">
        <is>
          <t>2026-10-01</t>
        </is>
      </c>
      <c r="C159" s="10" t="n">
        <v>5</v>
      </c>
      <c r="D159" s="10" t="n">
        <v>2</v>
      </c>
      <c r="E159" s="9" t="inlineStr">
        <is>
          <t>Month 1</t>
        </is>
      </c>
      <c r="F159" s="9" t="inlineStr">
        <is>
          <t>Machine Learning</t>
        </is>
      </c>
      <c r="G159" s="9" t="inlineStr">
        <is>
          <t>Concepts</t>
        </is>
      </c>
      <c r="H159" s="9" t="inlineStr">
        <is>
          <t>Unsupervised learning</t>
        </is>
      </c>
      <c r="I159" s="9" t="inlineStr">
        <is>
          <t>Master Unsupervised learning</t>
        </is>
      </c>
      <c r="J159" s="9" t="inlineStr">
        <is>
          <t>30 min</t>
        </is>
      </c>
      <c r="K159" s="9" t="inlineStr">
        <is>
          <t>30 min</t>
        </is>
      </c>
      <c r="L159" s="9" t="inlineStr">
        <is>
          <t>Code/Implement Unsupervised learning</t>
        </is>
      </c>
      <c r="M159" s="9" t="inlineStr">
        <is>
          <t>15 min</t>
        </is>
      </c>
      <c r="N159" s="9" t="inlineStr">
        <is>
          <t>How do you identify and fix Unsupervised learning?</t>
        </is>
      </c>
      <c r="O159" s="9" t="inlineStr">
        <is>
          <t>15 min</t>
        </is>
      </c>
      <c r="P159" s="9" t="inlineStr">
        <is>
          <t>Explain Unsupervised learning to a business stakeholder.</t>
        </is>
      </c>
      <c r="Q159" s="9" t="inlineStr">
        <is>
          <t>Build/Refine code</t>
        </is>
      </c>
      <c r="R159" s="9" t="inlineStr">
        <is>
          <t>-</t>
        </is>
      </c>
      <c r="S159" s="10" t="inlineStr">
        <is>
          <t>☐ Not Started</t>
        </is>
      </c>
      <c r="T159" s="10">
        <f>IF(S159="☑ Completed", "COMPLETED", "NOT STARTED")</f>
        <v/>
      </c>
      <c r="U159" s="9" t="inlineStr">
        <is>
          <t>Review Notes for Day 32</t>
        </is>
      </c>
    </row>
    <row r="160">
      <c r="A160" s="10" t="n">
        <v>32</v>
      </c>
      <c r="B160" s="10" t="inlineStr">
        <is>
          <t>2026-10-01</t>
        </is>
      </c>
      <c r="C160" s="10" t="n">
        <v>5</v>
      </c>
      <c r="D160" s="10" t="n">
        <v>2</v>
      </c>
      <c r="E160" s="9" t="inlineStr">
        <is>
          <t>Month 1</t>
        </is>
      </c>
      <c r="F160" s="9" t="inlineStr">
        <is>
          <t>Machine Learning</t>
        </is>
      </c>
      <c r="G160" s="9" t="inlineStr">
        <is>
          <t>Concepts</t>
        </is>
      </c>
      <c r="H160" s="9" t="inlineStr">
        <is>
          <t>Regression</t>
        </is>
      </c>
      <c r="I160" s="9" t="inlineStr">
        <is>
          <t>Master Regression</t>
        </is>
      </c>
      <c r="J160" s="9" t="inlineStr">
        <is>
          <t>30 min</t>
        </is>
      </c>
      <c r="K160" s="9" t="inlineStr">
        <is>
          <t>30 min</t>
        </is>
      </c>
      <c r="L160" s="9" t="inlineStr">
        <is>
          <t>Code/Implement Regression</t>
        </is>
      </c>
      <c r="M160" s="9" t="inlineStr">
        <is>
          <t>15 min</t>
        </is>
      </c>
      <c r="N160" s="9" t="inlineStr">
        <is>
          <t>How do you identify and fix Regression?</t>
        </is>
      </c>
      <c r="O160" s="9" t="inlineStr">
        <is>
          <t>15 min</t>
        </is>
      </c>
      <c r="P160" s="9" t="inlineStr">
        <is>
          <t>Explain Regression to a business stakeholder.</t>
        </is>
      </c>
      <c r="Q160" s="9" t="inlineStr">
        <is>
          <t>Build/Refine code</t>
        </is>
      </c>
      <c r="R160" s="9" t="inlineStr">
        <is>
          <t>-</t>
        </is>
      </c>
      <c r="S160" s="10" t="inlineStr">
        <is>
          <t>☐ Not Started</t>
        </is>
      </c>
      <c r="T160" s="10">
        <f>IF(S160="☑ Completed", "COMPLETED", "NOT STARTED")</f>
        <v/>
      </c>
      <c r="U160" s="9" t="inlineStr">
        <is>
          <t>Review Notes for Day 32</t>
        </is>
      </c>
    </row>
    <row r="161">
      <c r="A161" s="10" t="n">
        <v>32</v>
      </c>
      <c r="B161" s="10" t="inlineStr">
        <is>
          <t>2026-10-01</t>
        </is>
      </c>
      <c r="C161" s="10" t="n">
        <v>5</v>
      </c>
      <c r="D161" s="10" t="n">
        <v>2</v>
      </c>
      <c r="E161" s="9" t="inlineStr">
        <is>
          <t>Month 1</t>
        </is>
      </c>
      <c r="F161" s="9" t="inlineStr">
        <is>
          <t>Machine Learning</t>
        </is>
      </c>
      <c r="G161" s="9" t="inlineStr">
        <is>
          <t>Concepts</t>
        </is>
      </c>
      <c r="H161" s="9" t="inlineStr">
        <is>
          <t>Classification</t>
        </is>
      </c>
      <c r="I161" s="9" t="inlineStr">
        <is>
          <t>Master Classification</t>
        </is>
      </c>
      <c r="J161" s="9" t="inlineStr">
        <is>
          <t>30 min</t>
        </is>
      </c>
      <c r="K161" s="9" t="inlineStr">
        <is>
          <t>30 min</t>
        </is>
      </c>
      <c r="L161" s="9" t="inlineStr">
        <is>
          <t>Code/Implement Classification</t>
        </is>
      </c>
      <c r="M161" s="9" t="inlineStr">
        <is>
          <t>15 min</t>
        </is>
      </c>
      <c r="N161" s="9" t="inlineStr">
        <is>
          <t>How do you identify and fix Classification?</t>
        </is>
      </c>
      <c r="O161" s="9" t="inlineStr">
        <is>
          <t>15 min</t>
        </is>
      </c>
      <c r="P161" s="9" t="inlineStr">
        <is>
          <t>Explain Classification to a business stakeholder.</t>
        </is>
      </c>
      <c r="Q161" s="9" t="inlineStr">
        <is>
          <t>Build/Refine code</t>
        </is>
      </c>
      <c r="R161" s="9" t="inlineStr">
        <is>
          <t>-</t>
        </is>
      </c>
      <c r="S161" s="10" t="inlineStr">
        <is>
          <t>☐ Not Started</t>
        </is>
      </c>
      <c r="T161" s="10">
        <f>IF(S161="☑ Completed", "COMPLETED", "NOT STARTED")</f>
        <v/>
      </c>
      <c r="U161" s="9" t="inlineStr">
        <is>
          <t>Review Notes for Day 32</t>
        </is>
      </c>
    </row>
    <row r="162">
      <c r="A162" s="10" t="n">
        <v>33</v>
      </c>
      <c r="B162" s="10" t="inlineStr">
        <is>
          <t>2026-10-02</t>
        </is>
      </c>
      <c r="C162" s="10" t="n">
        <v>5</v>
      </c>
      <c r="D162" s="10" t="n">
        <v>2</v>
      </c>
      <c r="E162" s="9" t="inlineStr">
        <is>
          <t>Month 1</t>
        </is>
      </c>
      <c r="F162" s="9" t="inlineStr">
        <is>
          <t>Machine Learning</t>
        </is>
      </c>
      <c r="G162" s="9" t="inlineStr">
        <is>
          <t>Concepts</t>
        </is>
      </c>
      <c r="H162" s="9" t="inlineStr">
        <is>
          <t>Train/test split</t>
        </is>
      </c>
      <c r="I162" s="9" t="inlineStr">
        <is>
          <t>Master Train/test split</t>
        </is>
      </c>
      <c r="J162" s="9" t="inlineStr">
        <is>
          <t>45 min</t>
        </is>
      </c>
      <c r="K162" s="9" t="inlineStr">
        <is>
          <t>45 min</t>
        </is>
      </c>
      <c r="L162" s="9" t="inlineStr">
        <is>
          <t>Code/Implement Train/test split</t>
        </is>
      </c>
      <c r="M162" s="9" t="inlineStr">
        <is>
          <t>15 min</t>
        </is>
      </c>
      <c r="N162" s="9" t="inlineStr">
        <is>
          <t>How do you identify and fix Train/test split?</t>
        </is>
      </c>
      <c r="O162" s="9" t="inlineStr">
        <is>
          <t>15 min</t>
        </is>
      </c>
      <c r="P162" s="9" t="inlineStr">
        <is>
          <t>Explain Train/test split to a business stakeholder.</t>
        </is>
      </c>
      <c r="Q162" s="9" t="inlineStr">
        <is>
          <t>Build/Refine code</t>
        </is>
      </c>
      <c r="R162" s="9" t="n">
        <v>12</v>
      </c>
      <c r="S162" s="10" t="inlineStr">
        <is>
          <t>☐ Not Started</t>
        </is>
      </c>
      <c r="T162" s="10">
        <f>IF(S162="☑ Completed", "COMPLETED", "NOT STARTED")</f>
        <v/>
      </c>
      <c r="U162" s="9" t="inlineStr">
        <is>
          <t>Review Notes for Day 33</t>
        </is>
      </c>
    </row>
    <row r="163">
      <c r="A163" s="10" t="n">
        <v>33</v>
      </c>
      <c r="B163" s="10" t="inlineStr">
        <is>
          <t>2026-10-02</t>
        </is>
      </c>
      <c r="C163" s="10" t="n">
        <v>5</v>
      </c>
      <c r="D163" s="10" t="n">
        <v>2</v>
      </c>
      <c r="E163" s="9" t="inlineStr">
        <is>
          <t>Month 1</t>
        </is>
      </c>
      <c r="F163" s="9" t="inlineStr">
        <is>
          <t>Machine Learning</t>
        </is>
      </c>
      <c r="G163" s="9" t="inlineStr">
        <is>
          <t>Concepts</t>
        </is>
      </c>
      <c r="H163" s="9" t="inlineStr">
        <is>
          <t>Validation set</t>
        </is>
      </c>
      <c r="I163" s="9" t="inlineStr">
        <is>
          <t>Master Validation set</t>
        </is>
      </c>
      <c r="J163" s="9" t="inlineStr">
        <is>
          <t>30 min</t>
        </is>
      </c>
      <c r="K163" s="9" t="inlineStr">
        <is>
          <t>30 min</t>
        </is>
      </c>
      <c r="L163" s="9" t="inlineStr">
        <is>
          <t>Code/Implement Validation set</t>
        </is>
      </c>
      <c r="M163" s="9" t="inlineStr">
        <is>
          <t>15 min</t>
        </is>
      </c>
      <c r="N163" s="9" t="inlineStr">
        <is>
          <t>How do you identify and fix Validation set?</t>
        </is>
      </c>
      <c r="O163" s="9" t="inlineStr">
        <is>
          <t>15 min</t>
        </is>
      </c>
      <c r="P163" s="9" t="inlineStr">
        <is>
          <t>Explain Validation set to a business stakeholder.</t>
        </is>
      </c>
      <c r="Q163" s="9" t="inlineStr">
        <is>
          <t>Build/Refine code</t>
        </is>
      </c>
      <c r="R163" s="9" t="inlineStr">
        <is>
          <t>-</t>
        </is>
      </c>
      <c r="S163" s="10" t="inlineStr">
        <is>
          <t>☐ Not Started</t>
        </is>
      </c>
      <c r="T163" s="10">
        <f>IF(S163="☑ Completed", "COMPLETED", "NOT STARTED")</f>
        <v/>
      </c>
      <c r="U163" s="9" t="inlineStr">
        <is>
          <t>Review Notes for Day 33</t>
        </is>
      </c>
    </row>
    <row r="164">
      <c r="A164" s="10" t="n">
        <v>33</v>
      </c>
      <c r="B164" s="10" t="inlineStr">
        <is>
          <t>2026-10-02</t>
        </is>
      </c>
      <c r="C164" s="10" t="n">
        <v>5</v>
      </c>
      <c r="D164" s="10" t="n">
        <v>2</v>
      </c>
      <c r="E164" s="9" t="inlineStr">
        <is>
          <t>Month 1</t>
        </is>
      </c>
      <c r="F164" s="9" t="inlineStr">
        <is>
          <t>Machine Learning</t>
        </is>
      </c>
      <c r="G164" s="9" t="inlineStr">
        <is>
          <t>Concepts</t>
        </is>
      </c>
      <c r="H164" s="9" t="inlineStr">
        <is>
          <t>Cross-validation</t>
        </is>
      </c>
      <c r="I164" s="9" t="inlineStr">
        <is>
          <t>Master Cross-validation</t>
        </is>
      </c>
      <c r="J164" s="9" t="inlineStr">
        <is>
          <t>30 min</t>
        </is>
      </c>
      <c r="K164" s="9" t="inlineStr">
        <is>
          <t>30 min</t>
        </is>
      </c>
      <c r="L164" s="9" t="inlineStr">
        <is>
          <t>Code/Implement Cross-validation</t>
        </is>
      </c>
      <c r="M164" s="9" t="inlineStr">
        <is>
          <t>15 min</t>
        </is>
      </c>
      <c r="N164" s="9" t="inlineStr">
        <is>
          <t>How do you identify and fix Cross-validation?</t>
        </is>
      </c>
      <c r="O164" s="9" t="inlineStr">
        <is>
          <t>15 min</t>
        </is>
      </c>
      <c r="P164" s="9" t="inlineStr">
        <is>
          <t>Explain Cross-validation to a business stakeholder.</t>
        </is>
      </c>
      <c r="Q164" s="9" t="inlineStr">
        <is>
          <t>Build/Refine code</t>
        </is>
      </c>
      <c r="R164" s="9" t="inlineStr">
        <is>
          <t>-</t>
        </is>
      </c>
      <c r="S164" s="10" t="inlineStr">
        <is>
          <t>☐ Not Started</t>
        </is>
      </c>
      <c r="T164" s="10">
        <f>IF(S164="☑ Completed", "COMPLETED", "NOT STARTED")</f>
        <v/>
      </c>
      <c r="U164" s="9" t="inlineStr">
        <is>
          <t>Review Notes for Day 33</t>
        </is>
      </c>
    </row>
    <row r="165">
      <c r="A165" s="10" t="n">
        <v>33</v>
      </c>
      <c r="B165" s="10" t="inlineStr">
        <is>
          <t>2026-10-02</t>
        </is>
      </c>
      <c r="C165" s="10" t="n">
        <v>5</v>
      </c>
      <c r="D165" s="10" t="n">
        <v>2</v>
      </c>
      <c r="E165" s="9" t="inlineStr">
        <is>
          <t>Month 1</t>
        </is>
      </c>
      <c r="F165" s="9" t="inlineStr">
        <is>
          <t>Machine Learning</t>
        </is>
      </c>
      <c r="G165" s="9" t="inlineStr">
        <is>
          <t>Concepts</t>
        </is>
      </c>
      <c r="H165" s="9" t="inlineStr">
        <is>
          <t>Overfitting</t>
        </is>
      </c>
      <c r="I165" s="9" t="inlineStr">
        <is>
          <t>Master Overfitting</t>
        </is>
      </c>
      <c r="J165" s="9" t="inlineStr">
        <is>
          <t>30 min</t>
        </is>
      </c>
      <c r="K165" s="9" t="inlineStr">
        <is>
          <t>30 min</t>
        </is>
      </c>
      <c r="L165" s="9" t="inlineStr">
        <is>
          <t>Code/Implement Overfitting</t>
        </is>
      </c>
      <c r="M165" s="9" t="inlineStr">
        <is>
          <t>15 min</t>
        </is>
      </c>
      <c r="N165" s="9" t="inlineStr">
        <is>
          <t>How do you identify and fix Overfitting?</t>
        </is>
      </c>
      <c r="O165" s="9" t="inlineStr">
        <is>
          <t>15 min</t>
        </is>
      </c>
      <c r="P165" s="9" t="inlineStr">
        <is>
          <t>Explain Overfitting to a business stakeholder.</t>
        </is>
      </c>
      <c r="Q165" s="9" t="inlineStr">
        <is>
          <t>Build/Refine code</t>
        </is>
      </c>
      <c r="R165" s="9" t="inlineStr">
        <is>
          <t>-</t>
        </is>
      </c>
      <c r="S165" s="10" t="inlineStr">
        <is>
          <t>☐ Not Started</t>
        </is>
      </c>
      <c r="T165" s="10">
        <f>IF(S165="☑ Completed", "COMPLETED", "NOT STARTED")</f>
        <v/>
      </c>
      <c r="U165" s="9" t="inlineStr">
        <is>
          <t>Review Notes for Day 33</t>
        </is>
      </c>
    </row>
    <row r="166">
      <c r="A166" s="10" t="n">
        <v>33</v>
      </c>
      <c r="B166" s="10" t="inlineStr">
        <is>
          <t>2026-10-02</t>
        </is>
      </c>
      <c r="C166" s="10" t="n">
        <v>5</v>
      </c>
      <c r="D166" s="10" t="n">
        <v>2</v>
      </c>
      <c r="E166" s="9" t="inlineStr">
        <is>
          <t>Month 1</t>
        </is>
      </c>
      <c r="F166" s="9" t="inlineStr">
        <is>
          <t>Machine Learning</t>
        </is>
      </c>
      <c r="G166" s="9" t="inlineStr">
        <is>
          <t>Concepts</t>
        </is>
      </c>
      <c r="H166" s="9" t="inlineStr">
        <is>
          <t>Underfitting</t>
        </is>
      </c>
      <c r="I166" s="9" t="inlineStr">
        <is>
          <t>Master Underfitting</t>
        </is>
      </c>
      <c r="J166" s="9" t="inlineStr">
        <is>
          <t>30 min</t>
        </is>
      </c>
      <c r="K166" s="9" t="inlineStr">
        <is>
          <t>30 min</t>
        </is>
      </c>
      <c r="L166" s="9" t="inlineStr">
        <is>
          <t>Code/Implement Underfitting</t>
        </is>
      </c>
      <c r="M166" s="9" t="inlineStr">
        <is>
          <t>15 min</t>
        </is>
      </c>
      <c r="N166" s="9" t="inlineStr">
        <is>
          <t>How do you identify and fix Underfitting?</t>
        </is>
      </c>
      <c r="O166" s="9" t="inlineStr">
        <is>
          <t>15 min</t>
        </is>
      </c>
      <c r="P166" s="9" t="inlineStr">
        <is>
          <t>Explain Underfitting to a business stakeholder.</t>
        </is>
      </c>
      <c r="Q166" s="9" t="inlineStr">
        <is>
          <t>Build/Refine code</t>
        </is>
      </c>
      <c r="R166" s="9" t="inlineStr">
        <is>
          <t>-</t>
        </is>
      </c>
      <c r="S166" s="10" t="inlineStr">
        <is>
          <t>☐ Not Started</t>
        </is>
      </c>
      <c r="T166" s="10">
        <f>IF(S166="☑ Completed", "COMPLETED", "NOT STARTED")</f>
        <v/>
      </c>
      <c r="U166" s="9" t="inlineStr">
        <is>
          <t>Review Notes for Day 33</t>
        </is>
      </c>
    </row>
    <row r="167">
      <c r="A167" s="10" t="n">
        <v>34</v>
      </c>
      <c r="B167" s="10" t="inlineStr">
        <is>
          <t>2026-10-03</t>
        </is>
      </c>
      <c r="C167" s="10" t="n">
        <v>5</v>
      </c>
      <c r="D167" s="10" t="n">
        <v>2</v>
      </c>
      <c r="E167" s="9" t="inlineStr">
        <is>
          <t>Month 1</t>
        </is>
      </c>
      <c r="F167" s="9" t="inlineStr">
        <is>
          <t>Machine Learning</t>
        </is>
      </c>
      <c r="G167" s="9" t="inlineStr">
        <is>
          <t>Concepts</t>
        </is>
      </c>
      <c r="H167" s="9" t="inlineStr">
        <is>
          <t>Bias</t>
        </is>
      </c>
      <c r="I167" s="9" t="inlineStr">
        <is>
          <t>Master Bias</t>
        </is>
      </c>
      <c r="J167" s="9" t="inlineStr">
        <is>
          <t>45 min</t>
        </is>
      </c>
      <c r="K167" s="9" t="inlineStr">
        <is>
          <t>45 min</t>
        </is>
      </c>
      <c r="L167" s="9" t="inlineStr">
        <is>
          <t>Code/Implement Bias</t>
        </is>
      </c>
      <c r="M167" s="9" t="inlineStr">
        <is>
          <t>15 min</t>
        </is>
      </c>
      <c r="N167" s="9" t="inlineStr">
        <is>
          <t>How do you identify and fix Bias?</t>
        </is>
      </c>
      <c r="O167" s="9" t="inlineStr">
        <is>
          <t>15 min</t>
        </is>
      </c>
      <c r="P167" s="9" t="inlineStr">
        <is>
          <t>Explain Bias to a business stakeholder.</t>
        </is>
      </c>
      <c r="Q167" s="9" t="inlineStr">
        <is>
          <t>Build/Refine code</t>
        </is>
      </c>
      <c r="R167" s="9" t="n">
        <v>12</v>
      </c>
      <c r="S167" s="10" t="inlineStr">
        <is>
          <t>☐ Not Started</t>
        </is>
      </c>
      <c r="T167" s="10">
        <f>IF(S167="☑ Completed", "COMPLETED", "NOT STARTED")</f>
        <v/>
      </c>
      <c r="U167" s="9" t="inlineStr">
        <is>
          <t>Review Notes for Day 34</t>
        </is>
      </c>
    </row>
    <row r="168">
      <c r="A168" s="10" t="n">
        <v>34</v>
      </c>
      <c r="B168" s="10" t="inlineStr">
        <is>
          <t>2026-10-03</t>
        </is>
      </c>
      <c r="C168" s="10" t="n">
        <v>5</v>
      </c>
      <c r="D168" s="10" t="n">
        <v>2</v>
      </c>
      <c r="E168" s="9" t="inlineStr">
        <is>
          <t>Month 1</t>
        </is>
      </c>
      <c r="F168" s="9" t="inlineStr">
        <is>
          <t>Machine Learning</t>
        </is>
      </c>
      <c r="G168" s="9" t="inlineStr">
        <is>
          <t>Concepts</t>
        </is>
      </c>
      <c r="H168" s="9" t="inlineStr">
        <is>
          <t>Variance</t>
        </is>
      </c>
      <c r="I168" s="9" t="inlineStr">
        <is>
          <t>Master Variance</t>
        </is>
      </c>
      <c r="J168" s="9" t="inlineStr">
        <is>
          <t>30 min</t>
        </is>
      </c>
      <c r="K168" s="9" t="inlineStr">
        <is>
          <t>30 min</t>
        </is>
      </c>
      <c r="L168" s="9" t="inlineStr">
        <is>
          <t>Code/Implement Variance</t>
        </is>
      </c>
      <c r="M168" s="9" t="inlineStr">
        <is>
          <t>15 min</t>
        </is>
      </c>
      <c r="N168" s="9" t="inlineStr">
        <is>
          <t>How do you identify and fix Variance?</t>
        </is>
      </c>
      <c r="O168" s="9" t="inlineStr">
        <is>
          <t>15 min</t>
        </is>
      </c>
      <c r="P168" s="9" t="inlineStr">
        <is>
          <t>Explain Variance to a business stakeholder.</t>
        </is>
      </c>
      <c r="Q168" s="9" t="inlineStr">
        <is>
          <t>Build/Refine code</t>
        </is>
      </c>
      <c r="R168" s="9" t="inlineStr">
        <is>
          <t>-</t>
        </is>
      </c>
      <c r="S168" s="10" t="inlineStr">
        <is>
          <t>☐ Not Started</t>
        </is>
      </c>
      <c r="T168" s="10">
        <f>IF(S168="☑ Completed", "COMPLETED", "NOT STARTED")</f>
        <v/>
      </c>
      <c r="U168" s="9" t="inlineStr">
        <is>
          <t>Review Notes for Day 34</t>
        </is>
      </c>
    </row>
    <row r="169">
      <c r="A169" s="10" t="n">
        <v>34</v>
      </c>
      <c r="B169" s="10" t="inlineStr">
        <is>
          <t>2026-10-03</t>
        </is>
      </c>
      <c r="C169" s="10" t="n">
        <v>5</v>
      </c>
      <c r="D169" s="10" t="n">
        <v>2</v>
      </c>
      <c r="E169" s="9" t="inlineStr">
        <is>
          <t>Month 1</t>
        </is>
      </c>
      <c r="F169" s="9" t="inlineStr">
        <is>
          <t>Machine Learning</t>
        </is>
      </c>
      <c r="G169" s="9" t="inlineStr">
        <is>
          <t>Concepts</t>
        </is>
      </c>
      <c r="H169" s="9" t="inlineStr">
        <is>
          <t>Bias-variance tradeoff</t>
        </is>
      </c>
      <c r="I169" s="9" t="inlineStr">
        <is>
          <t>Master Bias-variance tradeoff</t>
        </is>
      </c>
      <c r="J169" s="9" t="inlineStr">
        <is>
          <t>30 min</t>
        </is>
      </c>
      <c r="K169" s="9" t="inlineStr">
        <is>
          <t>30 min</t>
        </is>
      </c>
      <c r="L169" s="9" t="inlineStr">
        <is>
          <t>Code/Implement Bias-variance tradeoff</t>
        </is>
      </c>
      <c r="M169" s="9" t="inlineStr">
        <is>
          <t>15 min</t>
        </is>
      </c>
      <c r="N169" s="9" t="inlineStr">
        <is>
          <t>How do you identify and fix Bias-variance tradeoff?</t>
        </is>
      </c>
      <c r="O169" s="9" t="inlineStr">
        <is>
          <t>15 min</t>
        </is>
      </c>
      <c r="P169" s="9" t="inlineStr">
        <is>
          <t>Explain Bias-variance tradeoff to a business stakeholder.</t>
        </is>
      </c>
      <c r="Q169" s="9" t="inlineStr">
        <is>
          <t>Build/Refine code</t>
        </is>
      </c>
      <c r="R169" s="9" t="inlineStr">
        <is>
          <t>-</t>
        </is>
      </c>
      <c r="S169" s="10" t="inlineStr">
        <is>
          <t>☐ Not Started</t>
        </is>
      </c>
      <c r="T169" s="10">
        <f>IF(S169="☑ Completed", "COMPLETED", "NOT STARTED")</f>
        <v/>
      </c>
      <c r="U169" s="9" t="inlineStr">
        <is>
          <t>Review Notes for Day 34</t>
        </is>
      </c>
    </row>
    <row r="170">
      <c r="A170" s="10" t="n">
        <v>34</v>
      </c>
      <c r="B170" s="10" t="inlineStr">
        <is>
          <t>2026-10-03</t>
        </is>
      </c>
      <c r="C170" s="10" t="n">
        <v>5</v>
      </c>
      <c r="D170" s="10" t="n">
        <v>2</v>
      </c>
      <c r="E170" s="9" t="inlineStr">
        <is>
          <t>Month 1</t>
        </is>
      </c>
      <c r="F170" s="9" t="inlineStr">
        <is>
          <t>Machine Learning</t>
        </is>
      </c>
      <c r="G170" s="9" t="inlineStr">
        <is>
          <t>Algorithms</t>
        </is>
      </c>
      <c r="H170" s="9" t="inlineStr">
        <is>
          <t>Linear Regression</t>
        </is>
      </c>
      <c r="I170" s="9" t="inlineStr">
        <is>
          <t>Master Linear Regression</t>
        </is>
      </c>
      <c r="J170" s="9" t="inlineStr">
        <is>
          <t>30 min</t>
        </is>
      </c>
      <c r="K170" s="9" t="inlineStr">
        <is>
          <t>30 min</t>
        </is>
      </c>
      <c r="L170" s="9" t="inlineStr">
        <is>
          <t>Code/Implement Linear Regression</t>
        </is>
      </c>
      <c r="M170" s="9" t="inlineStr">
        <is>
          <t>15 min</t>
        </is>
      </c>
      <c r="N170" s="9" t="inlineStr">
        <is>
          <t>What are the assumptions of Linear Regression?</t>
        </is>
      </c>
      <c r="O170" s="9" t="inlineStr">
        <is>
          <t>15 min</t>
        </is>
      </c>
      <c r="P170" s="9" t="inlineStr">
        <is>
          <t>Pitch the use of Linear Regression for a predictive task.</t>
        </is>
      </c>
      <c r="Q170" s="9" t="inlineStr">
        <is>
          <t>Build/Refine code</t>
        </is>
      </c>
      <c r="R170" s="9" t="inlineStr">
        <is>
          <t>-</t>
        </is>
      </c>
      <c r="S170" s="10" t="inlineStr">
        <is>
          <t>☐ Not Started</t>
        </is>
      </c>
      <c r="T170" s="10">
        <f>IF(S170="☑ Completed", "COMPLETED", "NOT STARTED")</f>
        <v/>
      </c>
      <c r="U170" s="9" t="inlineStr">
        <is>
          <t>Review Notes for Day 34</t>
        </is>
      </c>
    </row>
    <row r="171">
      <c r="A171" s="10" t="n">
        <v>34</v>
      </c>
      <c r="B171" s="10" t="inlineStr">
        <is>
          <t>2026-10-03</t>
        </is>
      </c>
      <c r="C171" s="10" t="n">
        <v>5</v>
      </c>
      <c r="D171" s="10" t="n">
        <v>2</v>
      </c>
      <c r="E171" s="9" t="inlineStr">
        <is>
          <t>Month 1</t>
        </is>
      </c>
      <c r="F171" s="9" t="inlineStr">
        <is>
          <t>Machine Learning</t>
        </is>
      </c>
      <c r="G171" s="9" t="inlineStr">
        <is>
          <t>Algorithms</t>
        </is>
      </c>
      <c r="H171" s="9" t="inlineStr">
        <is>
          <t>Logistic Regression</t>
        </is>
      </c>
      <c r="I171" s="9" t="inlineStr">
        <is>
          <t>Master Logistic Regression</t>
        </is>
      </c>
      <c r="J171" s="9" t="inlineStr">
        <is>
          <t>30 min</t>
        </is>
      </c>
      <c r="K171" s="9" t="inlineStr">
        <is>
          <t>30 min</t>
        </is>
      </c>
      <c r="L171" s="9" t="inlineStr">
        <is>
          <t>Code/Implement Logistic Regression</t>
        </is>
      </c>
      <c r="M171" s="9" t="inlineStr">
        <is>
          <t>15 min</t>
        </is>
      </c>
      <c r="N171" s="9" t="inlineStr">
        <is>
          <t>What are the assumptions of Logistic Regression?</t>
        </is>
      </c>
      <c r="O171" s="9" t="inlineStr">
        <is>
          <t>15 min</t>
        </is>
      </c>
      <c r="P171" s="9" t="inlineStr">
        <is>
          <t>Pitch the use of Logistic Regression for a predictive task.</t>
        </is>
      </c>
      <c r="Q171" s="9" t="inlineStr">
        <is>
          <t>Build/Refine code</t>
        </is>
      </c>
      <c r="R171" s="9" t="inlineStr">
        <is>
          <t>-</t>
        </is>
      </c>
      <c r="S171" s="10" t="inlineStr">
        <is>
          <t>☐ Not Started</t>
        </is>
      </c>
      <c r="T171" s="10">
        <f>IF(S171="☑ Completed", "COMPLETED", "NOT STARTED")</f>
        <v/>
      </c>
      <c r="U171" s="9" t="inlineStr">
        <is>
          <t>Review Notes for Day 34</t>
        </is>
      </c>
    </row>
    <row r="172">
      <c r="A172" s="10" t="n">
        <v>35</v>
      </c>
      <c r="B172" s="10" t="inlineStr">
        <is>
          <t>2026-10-04</t>
        </is>
      </c>
      <c r="C172" s="10" t="n">
        <v>5</v>
      </c>
      <c r="D172" s="10" t="n">
        <v>2</v>
      </c>
      <c r="E172" s="9" t="inlineStr">
        <is>
          <t>Month 1</t>
        </is>
      </c>
      <c r="F172" s="9" t="inlineStr">
        <is>
          <t>Machine Learning</t>
        </is>
      </c>
      <c r="G172" s="9" t="inlineStr">
        <is>
          <t>Algorithms</t>
        </is>
      </c>
      <c r="H172" s="9" t="inlineStr">
        <is>
          <t>KNN</t>
        </is>
      </c>
      <c r="I172" s="9" t="inlineStr">
        <is>
          <t>Master KNN</t>
        </is>
      </c>
      <c r="J172" s="9" t="inlineStr">
        <is>
          <t>45 min</t>
        </is>
      </c>
      <c r="K172" s="9" t="inlineStr">
        <is>
          <t>45 min</t>
        </is>
      </c>
      <c r="L172" s="9" t="inlineStr">
        <is>
          <t>Code/Implement KNN</t>
        </is>
      </c>
      <c r="M172" s="9" t="inlineStr">
        <is>
          <t>15 min</t>
        </is>
      </c>
      <c r="N172" s="9" t="inlineStr">
        <is>
          <t>What are the assumptions of KNN?</t>
        </is>
      </c>
      <c r="O172" s="9" t="inlineStr">
        <is>
          <t>15 min</t>
        </is>
      </c>
      <c r="P172" s="9" t="inlineStr">
        <is>
          <t>Pitch the use of KNN for a predictive task.</t>
        </is>
      </c>
      <c r="Q172" s="9" t="inlineStr">
        <is>
          <t>Build/Refine code</t>
        </is>
      </c>
      <c r="R172" s="9" t="n">
        <v>12</v>
      </c>
      <c r="S172" s="10" t="inlineStr">
        <is>
          <t>☐ Not Started</t>
        </is>
      </c>
      <c r="T172" s="10">
        <f>IF(S172="☑ Completed", "COMPLETED", "NOT STARTED")</f>
        <v/>
      </c>
      <c r="U172" s="9" t="inlineStr">
        <is>
          <t>Review Notes for Day 35</t>
        </is>
      </c>
    </row>
    <row r="173">
      <c r="A173" s="10" t="n">
        <v>35</v>
      </c>
      <c r="B173" s="10" t="inlineStr">
        <is>
          <t>2026-10-04</t>
        </is>
      </c>
      <c r="C173" s="10" t="n">
        <v>5</v>
      </c>
      <c r="D173" s="10" t="n">
        <v>2</v>
      </c>
      <c r="E173" s="9" t="inlineStr">
        <is>
          <t>Month 1</t>
        </is>
      </c>
      <c r="F173" s="9" t="inlineStr">
        <is>
          <t>Machine Learning</t>
        </is>
      </c>
      <c r="G173" s="9" t="inlineStr">
        <is>
          <t>Algorithms</t>
        </is>
      </c>
      <c r="H173" s="9" t="inlineStr">
        <is>
          <t>Naive Bayes</t>
        </is>
      </c>
      <c r="I173" s="9" t="inlineStr">
        <is>
          <t>Master Naive Bayes</t>
        </is>
      </c>
      <c r="J173" s="9" t="inlineStr">
        <is>
          <t>30 min</t>
        </is>
      </c>
      <c r="K173" s="9" t="inlineStr">
        <is>
          <t>30 min</t>
        </is>
      </c>
      <c r="L173" s="9" t="inlineStr">
        <is>
          <t>Code/Implement Naive Bayes</t>
        </is>
      </c>
      <c r="M173" s="9" t="inlineStr">
        <is>
          <t>15 min</t>
        </is>
      </c>
      <c r="N173" s="9" t="inlineStr">
        <is>
          <t>What are the assumptions of Naive Bayes?</t>
        </is>
      </c>
      <c r="O173" s="9" t="inlineStr">
        <is>
          <t>15 min</t>
        </is>
      </c>
      <c r="P173" s="9" t="inlineStr">
        <is>
          <t>Pitch the use of Naive Bayes for a predictive task.</t>
        </is>
      </c>
      <c r="Q173" s="9" t="inlineStr">
        <is>
          <t>Build/Refine code</t>
        </is>
      </c>
      <c r="R173" s="9" t="inlineStr">
        <is>
          <t>-</t>
        </is>
      </c>
      <c r="S173" s="10" t="inlineStr">
        <is>
          <t>☐ Not Started</t>
        </is>
      </c>
      <c r="T173" s="10">
        <f>IF(S173="☑ Completed", "COMPLETED", "NOT STARTED")</f>
        <v/>
      </c>
      <c r="U173" s="9" t="inlineStr">
        <is>
          <t>Review Notes for Day 35</t>
        </is>
      </c>
    </row>
    <row r="174">
      <c r="A174" s="10" t="n">
        <v>35</v>
      </c>
      <c r="B174" s="10" t="inlineStr">
        <is>
          <t>2026-10-04</t>
        </is>
      </c>
      <c r="C174" s="10" t="n">
        <v>5</v>
      </c>
      <c r="D174" s="10" t="n">
        <v>2</v>
      </c>
      <c r="E174" s="9" t="inlineStr">
        <is>
          <t>Month 1</t>
        </is>
      </c>
      <c r="F174" s="9" t="inlineStr">
        <is>
          <t>Machine Learning</t>
        </is>
      </c>
      <c r="G174" s="9" t="inlineStr">
        <is>
          <t>Algorithms</t>
        </is>
      </c>
      <c r="H174" s="9" t="inlineStr">
        <is>
          <t>Decision Tree</t>
        </is>
      </c>
      <c r="I174" s="9" t="inlineStr">
        <is>
          <t>Master Decision Tree</t>
        </is>
      </c>
      <c r="J174" s="9" t="inlineStr">
        <is>
          <t>30 min</t>
        </is>
      </c>
      <c r="K174" s="9" t="inlineStr">
        <is>
          <t>30 min</t>
        </is>
      </c>
      <c r="L174" s="9" t="inlineStr">
        <is>
          <t>Code/Implement Decision Tree</t>
        </is>
      </c>
      <c r="M174" s="9" t="inlineStr">
        <is>
          <t>15 min</t>
        </is>
      </c>
      <c r="N174" s="9" t="inlineStr">
        <is>
          <t>What are the assumptions of Decision Tree?</t>
        </is>
      </c>
      <c r="O174" s="9" t="inlineStr">
        <is>
          <t>15 min</t>
        </is>
      </c>
      <c r="P174" s="9" t="inlineStr">
        <is>
          <t>Pitch the use of Decision Tree for a predictive task.</t>
        </is>
      </c>
      <c r="Q174" s="9" t="inlineStr">
        <is>
          <t>Build/Refine code</t>
        </is>
      </c>
      <c r="R174" s="9" t="inlineStr">
        <is>
          <t>-</t>
        </is>
      </c>
      <c r="S174" s="10" t="inlineStr">
        <is>
          <t>☐ Not Started</t>
        </is>
      </c>
      <c r="T174" s="10">
        <f>IF(S174="☑ Completed", "COMPLETED", "NOT STARTED")</f>
        <v/>
      </c>
      <c r="U174" s="9" t="inlineStr">
        <is>
          <t>Review Notes for Day 35</t>
        </is>
      </c>
    </row>
    <row r="175">
      <c r="A175" s="10" t="n">
        <v>35</v>
      </c>
      <c r="B175" s="10" t="inlineStr">
        <is>
          <t>2026-10-04</t>
        </is>
      </c>
      <c r="C175" s="10" t="n">
        <v>5</v>
      </c>
      <c r="D175" s="10" t="n">
        <v>2</v>
      </c>
      <c r="E175" s="9" t="inlineStr">
        <is>
          <t>Month 1</t>
        </is>
      </c>
      <c r="F175" s="9" t="inlineStr">
        <is>
          <t>Machine Learning</t>
        </is>
      </c>
      <c r="G175" s="9" t="inlineStr">
        <is>
          <t>Algorithms</t>
        </is>
      </c>
      <c r="H175" s="9" t="inlineStr">
        <is>
          <t>Random Forest</t>
        </is>
      </c>
      <c r="I175" s="9" t="inlineStr">
        <is>
          <t>Master Random Forest</t>
        </is>
      </c>
      <c r="J175" s="9" t="inlineStr">
        <is>
          <t>30 min</t>
        </is>
      </c>
      <c r="K175" s="9" t="inlineStr">
        <is>
          <t>30 min</t>
        </is>
      </c>
      <c r="L175" s="9" t="inlineStr">
        <is>
          <t>Code/Implement Random Forest</t>
        </is>
      </c>
      <c r="M175" s="9" t="inlineStr">
        <is>
          <t>15 min</t>
        </is>
      </c>
      <c r="N175" s="9" t="inlineStr">
        <is>
          <t>What are the assumptions of Random Forest?</t>
        </is>
      </c>
      <c r="O175" s="9" t="inlineStr">
        <is>
          <t>15 min</t>
        </is>
      </c>
      <c r="P175" s="9" t="inlineStr">
        <is>
          <t>Pitch the use of Random Forest for a predictive task.</t>
        </is>
      </c>
      <c r="Q175" s="9" t="inlineStr">
        <is>
          <t>Build/Refine code</t>
        </is>
      </c>
      <c r="R175" s="9" t="inlineStr">
        <is>
          <t>-</t>
        </is>
      </c>
      <c r="S175" s="10" t="inlineStr">
        <is>
          <t>☐ Not Started</t>
        </is>
      </c>
      <c r="T175" s="10">
        <f>IF(S175="☑ Completed", "COMPLETED", "NOT STARTED")</f>
        <v/>
      </c>
      <c r="U175" s="9" t="inlineStr">
        <is>
          <t>Review Notes for Day 35</t>
        </is>
      </c>
    </row>
    <row r="176">
      <c r="A176" s="10" t="n">
        <v>35</v>
      </c>
      <c r="B176" s="10" t="inlineStr">
        <is>
          <t>2026-10-04</t>
        </is>
      </c>
      <c r="C176" s="10" t="n">
        <v>5</v>
      </c>
      <c r="D176" s="10" t="n">
        <v>2</v>
      </c>
      <c r="E176" s="9" t="inlineStr">
        <is>
          <t>Month 1</t>
        </is>
      </c>
      <c r="F176" s="9" t="inlineStr">
        <is>
          <t>Machine Learning</t>
        </is>
      </c>
      <c r="G176" s="9" t="inlineStr">
        <is>
          <t>Algorithms</t>
        </is>
      </c>
      <c r="H176" s="9" t="inlineStr">
        <is>
          <t>SVM</t>
        </is>
      </c>
      <c r="I176" s="9" t="inlineStr">
        <is>
          <t>Master SVM</t>
        </is>
      </c>
      <c r="J176" s="9" t="inlineStr">
        <is>
          <t>30 min</t>
        </is>
      </c>
      <c r="K176" s="9" t="inlineStr">
        <is>
          <t>30 min</t>
        </is>
      </c>
      <c r="L176" s="9" t="inlineStr">
        <is>
          <t>Code/Implement SVM</t>
        </is>
      </c>
      <c r="M176" s="9" t="inlineStr">
        <is>
          <t>15 min</t>
        </is>
      </c>
      <c r="N176" s="9" t="inlineStr">
        <is>
          <t>What are the assumptions of SVM?</t>
        </is>
      </c>
      <c r="O176" s="9" t="inlineStr">
        <is>
          <t>15 min</t>
        </is>
      </c>
      <c r="P176" s="9" t="inlineStr">
        <is>
          <t>Pitch the use of SVM for a predictive task.</t>
        </is>
      </c>
      <c r="Q176" s="9" t="inlineStr">
        <is>
          <t>Build/Refine code</t>
        </is>
      </c>
      <c r="R176" s="9" t="inlineStr">
        <is>
          <t>-</t>
        </is>
      </c>
      <c r="S176" s="10" t="inlineStr">
        <is>
          <t>☐ Not Started</t>
        </is>
      </c>
      <c r="T176" s="10">
        <f>IF(S176="☑ Completed", "COMPLETED", "NOT STARTED")</f>
        <v/>
      </c>
      <c r="U176" s="9" t="inlineStr">
        <is>
          <t>Review Notes for Day 35</t>
        </is>
      </c>
    </row>
    <row r="177">
      <c r="A177" s="10" t="n">
        <v>36</v>
      </c>
      <c r="B177" s="10" t="inlineStr">
        <is>
          <t>2026-10-05</t>
        </is>
      </c>
      <c r="C177" s="10" t="n">
        <v>6</v>
      </c>
      <c r="D177" s="10" t="n">
        <v>2</v>
      </c>
      <c r="E177" s="9" t="inlineStr">
        <is>
          <t>Month 1</t>
        </is>
      </c>
      <c r="F177" s="9" t="inlineStr">
        <is>
          <t>Machine Learning</t>
        </is>
      </c>
      <c r="G177" s="9" t="inlineStr">
        <is>
          <t>Algorithms</t>
        </is>
      </c>
      <c r="H177" s="9" t="inlineStr">
        <is>
          <t>K-Means</t>
        </is>
      </c>
      <c r="I177" s="9" t="inlineStr">
        <is>
          <t>Master K-Means</t>
        </is>
      </c>
      <c r="J177" s="9" t="inlineStr">
        <is>
          <t>45 min</t>
        </is>
      </c>
      <c r="K177" s="9" t="inlineStr">
        <is>
          <t>45 min</t>
        </is>
      </c>
      <c r="L177" s="9" t="inlineStr">
        <is>
          <t>Code/Implement K-Means</t>
        </is>
      </c>
      <c r="M177" s="9" t="inlineStr">
        <is>
          <t>15 min</t>
        </is>
      </c>
      <c r="N177" s="9" t="inlineStr">
        <is>
          <t>What are the assumptions of K-Means?</t>
        </is>
      </c>
      <c r="O177" s="9" t="inlineStr">
        <is>
          <t>15 min</t>
        </is>
      </c>
      <c r="P177" s="9" t="inlineStr">
        <is>
          <t>Pitch the use of K-Means for a predictive task.</t>
        </is>
      </c>
      <c r="Q177" s="9" t="inlineStr">
        <is>
          <t>Build/Refine code</t>
        </is>
      </c>
      <c r="R177" s="9" t="n">
        <v>12</v>
      </c>
      <c r="S177" s="10" t="inlineStr">
        <is>
          <t>☐ Not Started</t>
        </is>
      </c>
      <c r="T177" s="10">
        <f>IF(S177="☑ Completed", "COMPLETED", "NOT STARTED")</f>
        <v/>
      </c>
      <c r="U177" s="9" t="inlineStr">
        <is>
          <t>Review Notes for Day 36</t>
        </is>
      </c>
    </row>
    <row r="178">
      <c r="A178" s="10" t="n">
        <v>36</v>
      </c>
      <c r="B178" s="10" t="inlineStr">
        <is>
          <t>2026-10-05</t>
        </is>
      </c>
      <c r="C178" s="10" t="n">
        <v>6</v>
      </c>
      <c r="D178" s="10" t="n">
        <v>2</v>
      </c>
      <c r="E178" s="9" t="inlineStr">
        <is>
          <t>Month 1</t>
        </is>
      </c>
      <c r="F178" s="9" t="inlineStr">
        <is>
          <t>Machine Learning</t>
        </is>
      </c>
      <c r="G178" s="9" t="inlineStr">
        <is>
          <t>Algorithms</t>
        </is>
      </c>
      <c r="H178" s="9" t="inlineStr">
        <is>
          <t>PCA</t>
        </is>
      </c>
      <c r="I178" s="9" t="inlineStr">
        <is>
          <t>Master PCA</t>
        </is>
      </c>
      <c r="J178" s="9" t="inlineStr">
        <is>
          <t>30 min</t>
        </is>
      </c>
      <c r="K178" s="9" t="inlineStr">
        <is>
          <t>30 min</t>
        </is>
      </c>
      <c r="L178" s="9" t="inlineStr">
        <is>
          <t>Code/Implement PCA</t>
        </is>
      </c>
      <c r="M178" s="9" t="inlineStr">
        <is>
          <t>15 min</t>
        </is>
      </c>
      <c r="N178" s="9" t="inlineStr">
        <is>
          <t>What are the assumptions of PCA?</t>
        </is>
      </c>
      <c r="O178" s="9" t="inlineStr">
        <is>
          <t>15 min</t>
        </is>
      </c>
      <c r="P178" s="9" t="inlineStr">
        <is>
          <t>Pitch the use of PCA for a predictive task.</t>
        </is>
      </c>
      <c r="Q178" s="9" t="inlineStr">
        <is>
          <t>Build/Refine code</t>
        </is>
      </c>
      <c r="R178" s="9" t="inlineStr">
        <is>
          <t>-</t>
        </is>
      </c>
      <c r="S178" s="10" t="inlineStr">
        <is>
          <t>☐ Not Started</t>
        </is>
      </c>
      <c r="T178" s="10">
        <f>IF(S178="☑ Completed", "COMPLETED", "NOT STARTED")</f>
        <v/>
      </c>
      <c r="U178" s="9" t="inlineStr">
        <is>
          <t>Review Notes for Day 36</t>
        </is>
      </c>
    </row>
    <row r="179">
      <c r="A179" s="10" t="n">
        <v>36</v>
      </c>
      <c r="B179" s="10" t="inlineStr">
        <is>
          <t>2026-10-05</t>
        </is>
      </c>
      <c r="C179" s="10" t="n">
        <v>6</v>
      </c>
      <c r="D179" s="10" t="n">
        <v>2</v>
      </c>
      <c r="E179" s="9" t="inlineStr">
        <is>
          <t>Month 1</t>
        </is>
      </c>
      <c r="F179" s="9" t="inlineStr">
        <is>
          <t>Machine Learning</t>
        </is>
      </c>
      <c r="G179" s="9" t="inlineStr">
        <is>
          <t>Preprocessing</t>
        </is>
      </c>
      <c r="H179" s="9" t="inlineStr">
        <is>
          <t>Feature engineering</t>
        </is>
      </c>
      <c r="I179" s="9" t="inlineStr">
        <is>
          <t>Master Feature engineering</t>
        </is>
      </c>
      <c r="J179" s="9" t="inlineStr">
        <is>
          <t>30 min</t>
        </is>
      </c>
      <c r="K179" s="9" t="inlineStr">
        <is>
          <t>30 min</t>
        </is>
      </c>
      <c r="L179" s="9" t="inlineStr">
        <is>
          <t>Code/Implement Feature engineering</t>
        </is>
      </c>
      <c r="M179" s="9" t="inlineStr">
        <is>
          <t>15 min</t>
        </is>
      </c>
      <c r="N179" s="9" t="inlineStr">
        <is>
          <t>Why is Feature engineering necessary before training?</t>
        </is>
      </c>
      <c r="O179" s="9" t="inlineStr">
        <is>
          <t>15 min</t>
        </is>
      </c>
      <c r="P179" s="9" t="inlineStr">
        <is>
          <t>Describe your workflow for Feature engineering.</t>
        </is>
      </c>
      <c r="Q179" s="9" t="inlineStr">
        <is>
          <t>Build/Refine code</t>
        </is>
      </c>
      <c r="R179" s="9" t="inlineStr">
        <is>
          <t>-</t>
        </is>
      </c>
      <c r="S179" s="10" t="inlineStr">
        <is>
          <t>☐ Not Started</t>
        </is>
      </c>
      <c r="T179" s="10">
        <f>IF(S179="☑ Completed", "COMPLETED", "NOT STARTED")</f>
        <v/>
      </c>
      <c r="U179" s="9" t="inlineStr">
        <is>
          <t>Review Notes for Day 36</t>
        </is>
      </c>
    </row>
    <row r="180">
      <c r="A180" s="10" t="n">
        <v>36</v>
      </c>
      <c r="B180" s="10" t="inlineStr">
        <is>
          <t>2026-10-05</t>
        </is>
      </c>
      <c r="C180" s="10" t="n">
        <v>6</v>
      </c>
      <c r="D180" s="10" t="n">
        <v>2</v>
      </c>
      <c r="E180" s="9" t="inlineStr">
        <is>
          <t>Month 1</t>
        </is>
      </c>
      <c r="F180" s="9" t="inlineStr">
        <is>
          <t>Machine Learning</t>
        </is>
      </c>
      <c r="G180" s="9" t="inlineStr">
        <is>
          <t>Preprocessing</t>
        </is>
      </c>
      <c r="H180" s="9" t="inlineStr">
        <is>
          <t>Feature selection</t>
        </is>
      </c>
      <c r="I180" s="9" t="inlineStr">
        <is>
          <t>Master Feature selection</t>
        </is>
      </c>
      <c r="J180" s="9" t="inlineStr">
        <is>
          <t>30 min</t>
        </is>
      </c>
      <c r="K180" s="9" t="inlineStr">
        <is>
          <t>30 min</t>
        </is>
      </c>
      <c r="L180" s="9" t="inlineStr">
        <is>
          <t>Code/Implement Feature selection</t>
        </is>
      </c>
      <c r="M180" s="9" t="inlineStr">
        <is>
          <t>15 min</t>
        </is>
      </c>
      <c r="N180" s="9" t="inlineStr">
        <is>
          <t>Why is Feature selection necessary before training?</t>
        </is>
      </c>
      <c r="O180" s="9" t="inlineStr">
        <is>
          <t>15 min</t>
        </is>
      </c>
      <c r="P180" s="9" t="inlineStr">
        <is>
          <t>Describe your workflow for Feature selection.</t>
        </is>
      </c>
      <c r="Q180" s="9" t="inlineStr">
        <is>
          <t>Build/Refine code</t>
        </is>
      </c>
      <c r="R180" s="9" t="inlineStr">
        <is>
          <t>-</t>
        </is>
      </c>
      <c r="S180" s="10" t="inlineStr">
        <is>
          <t>☐ Not Started</t>
        </is>
      </c>
      <c r="T180" s="10">
        <f>IF(S180="☑ Completed", "COMPLETED", "NOT STARTED")</f>
        <v/>
      </c>
      <c r="U180" s="9" t="inlineStr">
        <is>
          <t>Review Notes for Day 36</t>
        </is>
      </c>
    </row>
    <row r="181">
      <c r="A181" s="10" t="n">
        <v>36</v>
      </c>
      <c r="B181" s="10" t="inlineStr">
        <is>
          <t>2026-10-05</t>
        </is>
      </c>
      <c r="C181" s="10" t="n">
        <v>6</v>
      </c>
      <c r="D181" s="10" t="n">
        <v>2</v>
      </c>
      <c r="E181" s="9" t="inlineStr">
        <is>
          <t>Month 1</t>
        </is>
      </c>
      <c r="F181" s="9" t="inlineStr">
        <is>
          <t>Machine Learning</t>
        </is>
      </c>
      <c r="G181" s="9" t="inlineStr">
        <is>
          <t>Preprocessing</t>
        </is>
      </c>
      <c r="H181" s="9" t="inlineStr">
        <is>
          <t>Categorical encoding</t>
        </is>
      </c>
      <c r="I181" s="9" t="inlineStr">
        <is>
          <t>Master Categorical encoding</t>
        </is>
      </c>
      <c r="J181" s="9" t="inlineStr">
        <is>
          <t>30 min</t>
        </is>
      </c>
      <c r="K181" s="9" t="inlineStr">
        <is>
          <t>30 min</t>
        </is>
      </c>
      <c r="L181" s="9" t="inlineStr">
        <is>
          <t>Code/Implement Categorical encoding</t>
        </is>
      </c>
      <c r="M181" s="9" t="inlineStr">
        <is>
          <t>15 min</t>
        </is>
      </c>
      <c r="N181" s="9" t="inlineStr">
        <is>
          <t>Why is Categorical encoding necessary before training?</t>
        </is>
      </c>
      <c r="O181" s="9" t="inlineStr">
        <is>
          <t>15 min</t>
        </is>
      </c>
      <c r="P181" s="9" t="inlineStr">
        <is>
          <t>Describe your workflow for Categorical encoding.</t>
        </is>
      </c>
      <c r="Q181" s="9" t="inlineStr">
        <is>
          <t>Build/Refine code</t>
        </is>
      </c>
      <c r="R181" s="9" t="inlineStr">
        <is>
          <t>-</t>
        </is>
      </c>
      <c r="S181" s="10" t="inlineStr">
        <is>
          <t>☐ Not Started</t>
        </is>
      </c>
      <c r="T181" s="10">
        <f>IF(S181="☑ Completed", "COMPLETED", "NOT STARTED")</f>
        <v/>
      </c>
      <c r="U181" s="9" t="inlineStr">
        <is>
          <t>Review Notes for Day 36</t>
        </is>
      </c>
    </row>
    <row r="182">
      <c r="A182" s="10" t="n">
        <v>37</v>
      </c>
      <c r="B182" s="10" t="inlineStr">
        <is>
          <t>2026-10-06</t>
        </is>
      </c>
      <c r="C182" s="10" t="n">
        <v>6</v>
      </c>
      <c r="D182" s="10" t="n">
        <v>2</v>
      </c>
      <c r="E182" s="9" t="inlineStr">
        <is>
          <t>Month 1</t>
        </is>
      </c>
      <c r="F182" s="9" t="inlineStr">
        <is>
          <t>Machine Learning</t>
        </is>
      </c>
      <c r="G182" s="9" t="inlineStr">
        <is>
          <t>Preprocessing</t>
        </is>
      </c>
      <c r="H182" s="9" t="inlineStr">
        <is>
          <t>One-hot encoding</t>
        </is>
      </c>
      <c r="I182" s="9" t="inlineStr">
        <is>
          <t>Master One-hot encoding</t>
        </is>
      </c>
      <c r="J182" s="9" t="inlineStr">
        <is>
          <t>45 min</t>
        </is>
      </c>
      <c r="K182" s="9" t="inlineStr">
        <is>
          <t>45 min</t>
        </is>
      </c>
      <c r="L182" s="9" t="inlineStr">
        <is>
          <t>Code/Implement One-hot encoding</t>
        </is>
      </c>
      <c r="M182" s="9" t="inlineStr">
        <is>
          <t>15 min</t>
        </is>
      </c>
      <c r="N182" s="9" t="inlineStr">
        <is>
          <t>Why is One-hot encoding necessary before training?</t>
        </is>
      </c>
      <c r="O182" s="9" t="inlineStr">
        <is>
          <t>15 min</t>
        </is>
      </c>
      <c r="P182" s="9" t="inlineStr">
        <is>
          <t>Describe your workflow for One-hot encoding.</t>
        </is>
      </c>
      <c r="Q182" s="9" t="inlineStr">
        <is>
          <t>Build/Refine code</t>
        </is>
      </c>
      <c r="R182" s="9" t="n">
        <v>12</v>
      </c>
      <c r="S182" s="10" t="inlineStr">
        <is>
          <t>☐ Not Started</t>
        </is>
      </c>
      <c r="T182" s="10">
        <f>IF(S182="☑ Completed", "COMPLETED", "NOT STARTED")</f>
        <v/>
      </c>
      <c r="U182" s="9" t="inlineStr">
        <is>
          <t>Review Notes for Day 37</t>
        </is>
      </c>
    </row>
    <row r="183">
      <c r="A183" s="10" t="n">
        <v>37</v>
      </c>
      <c r="B183" s="10" t="inlineStr">
        <is>
          <t>2026-10-06</t>
        </is>
      </c>
      <c r="C183" s="10" t="n">
        <v>6</v>
      </c>
      <c r="D183" s="10" t="n">
        <v>2</v>
      </c>
      <c r="E183" s="9" t="inlineStr">
        <is>
          <t>Month 1</t>
        </is>
      </c>
      <c r="F183" s="9" t="inlineStr">
        <is>
          <t>Machine Learning</t>
        </is>
      </c>
      <c r="G183" s="9" t="inlineStr">
        <is>
          <t>Preprocessing</t>
        </is>
      </c>
      <c r="H183" s="9" t="inlineStr">
        <is>
          <t>Label encoding</t>
        </is>
      </c>
      <c r="I183" s="9" t="inlineStr">
        <is>
          <t>Master Label encoding</t>
        </is>
      </c>
      <c r="J183" s="9" t="inlineStr">
        <is>
          <t>30 min</t>
        </is>
      </c>
      <c r="K183" s="9" t="inlineStr">
        <is>
          <t>30 min</t>
        </is>
      </c>
      <c r="L183" s="9" t="inlineStr">
        <is>
          <t>Code/Implement Label encoding</t>
        </is>
      </c>
      <c r="M183" s="9" t="inlineStr">
        <is>
          <t>15 min</t>
        </is>
      </c>
      <c r="N183" s="9" t="inlineStr">
        <is>
          <t>Why is Label encoding necessary before training?</t>
        </is>
      </c>
      <c r="O183" s="9" t="inlineStr">
        <is>
          <t>15 min</t>
        </is>
      </c>
      <c r="P183" s="9" t="inlineStr">
        <is>
          <t>Describe your workflow for Label encoding.</t>
        </is>
      </c>
      <c r="Q183" s="9" t="inlineStr">
        <is>
          <t>Build/Refine code</t>
        </is>
      </c>
      <c r="R183" s="9" t="inlineStr">
        <is>
          <t>-</t>
        </is>
      </c>
      <c r="S183" s="10" t="inlineStr">
        <is>
          <t>☐ Not Started</t>
        </is>
      </c>
      <c r="T183" s="10">
        <f>IF(S183="☑ Completed", "COMPLETED", "NOT STARTED")</f>
        <v/>
      </c>
      <c r="U183" s="9" t="inlineStr">
        <is>
          <t>Review Notes for Day 37</t>
        </is>
      </c>
    </row>
    <row r="184">
      <c r="A184" s="10" t="n">
        <v>37</v>
      </c>
      <c r="B184" s="10" t="inlineStr">
        <is>
          <t>2026-10-06</t>
        </is>
      </c>
      <c r="C184" s="10" t="n">
        <v>6</v>
      </c>
      <c r="D184" s="10" t="n">
        <v>2</v>
      </c>
      <c r="E184" s="9" t="inlineStr">
        <is>
          <t>Month 1</t>
        </is>
      </c>
      <c r="F184" s="9" t="inlineStr">
        <is>
          <t>Machine Learning</t>
        </is>
      </c>
      <c r="G184" s="9" t="inlineStr">
        <is>
          <t>Preprocessing</t>
        </is>
      </c>
      <c r="H184" s="9" t="inlineStr">
        <is>
          <t>Scaling</t>
        </is>
      </c>
      <c r="I184" s="9" t="inlineStr">
        <is>
          <t>Master Scaling</t>
        </is>
      </c>
      <c r="J184" s="9" t="inlineStr">
        <is>
          <t>30 min</t>
        </is>
      </c>
      <c r="K184" s="9" t="inlineStr">
        <is>
          <t>30 min</t>
        </is>
      </c>
      <c r="L184" s="9" t="inlineStr">
        <is>
          <t>Code/Implement Scaling</t>
        </is>
      </c>
      <c r="M184" s="9" t="inlineStr">
        <is>
          <t>15 min</t>
        </is>
      </c>
      <c r="N184" s="9" t="inlineStr">
        <is>
          <t>Why is Scaling necessary before training?</t>
        </is>
      </c>
      <c r="O184" s="9" t="inlineStr">
        <is>
          <t>15 min</t>
        </is>
      </c>
      <c r="P184" s="9" t="inlineStr">
        <is>
          <t>Describe your workflow for Scaling.</t>
        </is>
      </c>
      <c r="Q184" s="9" t="inlineStr">
        <is>
          <t>Build/Refine code</t>
        </is>
      </c>
      <c r="R184" s="9" t="inlineStr">
        <is>
          <t>-</t>
        </is>
      </c>
      <c r="S184" s="10" t="inlineStr">
        <is>
          <t>☐ Not Started</t>
        </is>
      </c>
      <c r="T184" s="10">
        <f>IF(S184="☑ Completed", "COMPLETED", "NOT STARTED")</f>
        <v/>
      </c>
      <c r="U184" s="9" t="inlineStr">
        <is>
          <t>Review Notes for Day 37</t>
        </is>
      </c>
    </row>
    <row r="185">
      <c r="A185" s="10" t="n">
        <v>37</v>
      </c>
      <c r="B185" s="10" t="inlineStr">
        <is>
          <t>2026-10-06</t>
        </is>
      </c>
      <c r="C185" s="10" t="n">
        <v>6</v>
      </c>
      <c r="D185" s="10" t="n">
        <v>2</v>
      </c>
      <c r="E185" s="9" t="inlineStr">
        <is>
          <t>Month 1</t>
        </is>
      </c>
      <c r="F185" s="9" t="inlineStr">
        <is>
          <t>Machine Learning</t>
        </is>
      </c>
      <c r="G185" s="9" t="inlineStr">
        <is>
          <t>Preprocessing</t>
        </is>
      </c>
      <c r="H185" s="9" t="inlineStr">
        <is>
          <t>Normalization</t>
        </is>
      </c>
      <c r="I185" s="9" t="inlineStr">
        <is>
          <t>Master Normalization</t>
        </is>
      </c>
      <c r="J185" s="9" t="inlineStr">
        <is>
          <t>30 min</t>
        </is>
      </c>
      <c r="K185" s="9" t="inlineStr">
        <is>
          <t>30 min</t>
        </is>
      </c>
      <c r="L185" s="9" t="inlineStr">
        <is>
          <t>Code/Implement Normalization</t>
        </is>
      </c>
      <c r="M185" s="9" t="inlineStr">
        <is>
          <t>15 min</t>
        </is>
      </c>
      <c r="N185" s="9" t="inlineStr">
        <is>
          <t>Why is Normalization necessary before training?</t>
        </is>
      </c>
      <c r="O185" s="9" t="inlineStr">
        <is>
          <t>15 min</t>
        </is>
      </c>
      <c r="P185" s="9" t="inlineStr">
        <is>
          <t>Describe your workflow for Normalization.</t>
        </is>
      </c>
      <c r="Q185" s="9" t="inlineStr">
        <is>
          <t>Build/Refine code</t>
        </is>
      </c>
      <c r="R185" s="9" t="inlineStr">
        <is>
          <t>-</t>
        </is>
      </c>
      <c r="S185" s="10" t="inlineStr">
        <is>
          <t>☐ Not Started</t>
        </is>
      </c>
      <c r="T185" s="10">
        <f>IF(S185="☑ Completed", "COMPLETED", "NOT STARTED")</f>
        <v/>
      </c>
      <c r="U185" s="9" t="inlineStr">
        <is>
          <t>Review Notes for Day 37</t>
        </is>
      </c>
    </row>
    <row r="186">
      <c r="A186" s="10" t="n">
        <v>37</v>
      </c>
      <c r="B186" s="10" t="inlineStr">
        <is>
          <t>2026-10-06</t>
        </is>
      </c>
      <c r="C186" s="10" t="n">
        <v>6</v>
      </c>
      <c r="D186" s="10" t="n">
        <v>2</v>
      </c>
      <c r="E186" s="9" t="inlineStr">
        <is>
          <t>Month 1</t>
        </is>
      </c>
      <c r="F186" s="9" t="inlineStr">
        <is>
          <t>Machine Learning</t>
        </is>
      </c>
      <c r="G186" s="9" t="inlineStr">
        <is>
          <t>Preprocessing</t>
        </is>
      </c>
      <c r="H186" s="9" t="inlineStr">
        <is>
          <t>Standardization</t>
        </is>
      </c>
      <c r="I186" s="9" t="inlineStr">
        <is>
          <t>Master Standardization</t>
        </is>
      </c>
      <c r="J186" s="9" t="inlineStr">
        <is>
          <t>30 min</t>
        </is>
      </c>
      <c r="K186" s="9" t="inlineStr">
        <is>
          <t>30 min</t>
        </is>
      </c>
      <c r="L186" s="9" t="inlineStr">
        <is>
          <t>Code/Implement Standardization</t>
        </is>
      </c>
      <c r="M186" s="9" t="inlineStr">
        <is>
          <t>15 min</t>
        </is>
      </c>
      <c r="N186" s="9" t="inlineStr">
        <is>
          <t>Why is Standardization necessary before training?</t>
        </is>
      </c>
      <c r="O186" s="9" t="inlineStr">
        <is>
          <t>15 min</t>
        </is>
      </c>
      <c r="P186" s="9" t="inlineStr">
        <is>
          <t>Describe your workflow for Standardization.</t>
        </is>
      </c>
      <c r="Q186" s="9" t="inlineStr">
        <is>
          <t>Build/Refine code</t>
        </is>
      </c>
      <c r="R186" s="9" t="inlineStr">
        <is>
          <t>-</t>
        </is>
      </c>
      <c r="S186" s="10" t="inlineStr">
        <is>
          <t>☐ Not Started</t>
        </is>
      </c>
      <c r="T186" s="10">
        <f>IF(S186="☑ Completed", "COMPLETED", "NOT STARTED")</f>
        <v/>
      </c>
      <c r="U186" s="9" t="inlineStr">
        <is>
          <t>Review Notes for Day 37</t>
        </is>
      </c>
    </row>
    <row r="187">
      <c r="A187" s="10" t="n">
        <v>38</v>
      </c>
      <c r="B187" s="10" t="inlineStr">
        <is>
          <t>2026-10-07</t>
        </is>
      </c>
      <c r="C187" s="10" t="n">
        <v>6</v>
      </c>
      <c r="D187" s="10" t="n">
        <v>2</v>
      </c>
      <c r="E187" s="9" t="inlineStr">
        <is>
          <t>Month 1</t>
        </is>
      </c>
      <c r="F187" s="9" t="inlineStr">
        <is>
          <t>Machine Learning</t>
        </is>
      </c>
      <c r="G187" s="9" t="inlineStr">
        <is>
          <t>Preprocessing</t>
        </is>
      </c>
      <c r="H187" s="9" t="inlineStr">
        <is>
          <t>Missing value treatment</t>
        </is>
      </c>
      <c r="I187" s="9" t="inlineStr">
        <is>
          <t>Master Missing value treatment</t>
        </is>
      </c>
      <c r="J187" s="9" t="inlineStr">
        <is>
          <t>45 min</t>
        </is>
      </c>
      <c r="K187" s="9" t="inlineStr">
        <is>
          <t>45 min</t>
        </is>
      </c>
      <c r="L187" s="9" t="inlineStr">
        <is>
          <t>Code/Implement Missing value treatment</t>
        </is>
      </c>
      <c r="M187" s="9" t="inlineStr">
        <is>
          <t>15 min</t>
        </is>
      </c>
      <c r="N187" s="9" t="inlineStr">
        <is>
          <t>Why is Missing value treatment necessary before training?</t>
        </is>
      </c>
      <c r="O187" s="9" t="inlineStr">
        <is>
          <t>15 min</t>
        </is>
      </c>
      <c r="P187" s="9" t="inlineStr">
        <is>
          <t>Describe your workflow for Missing value treatment.</t>
        </is>
      </c>
      <c r="Q187" s="9" t="inlineStr">
        <is>
          <t>Build/Refine code</t>
        </is>
      </c>
      <c r="R187" s="9" t="n">
        <v>12</v>
      </c>
      <c r="S187" s="10" t="inlineStr">
        <is>
          <t>☐ Not Started</t>
        </is>
      </c>
      <c r="T187" s="10">
        <f>IF(S187="☑ Completed", "COMPLETED", "NOT STARTED")</f>
        <v/>
      </c>
      <c r="U187" s="9" t="inlineStr">
        <is>
          <t>Review Notes for Day 38</t>
        </is>
      </c>
    </row>
    <row r="188">
      <c r="A188" s="10" t="n">
        <v>38</v>
      </c>
      <c r="B188" s="10" t="inlineStr">
        <is>
          <t>2026-10-07</t>
        </is>
      </c>
      <c r="C188" s="10" t="n">
        <v>6</v>
      </c>
      <c r="D188" s="10" t="n">
        <v>2</v>
      </c>
      <c r="E188" s="9" t="inlineStr">
        <is>
          <t>Month 1</t>
        </is>
      </c>
      <c r="F188" s="9" t="inlineStr">
        <is>
          <t>Machine Learning</t>
        </is>
      </c>
      <c r="G188" s="9" t="inlineStr">
        <is>
          <t>Preprocessing</t>
        </is>
      </c>
      <c r="H188" s="9" t="inlineStr">
        <is>
          <t>Outlier treatment</t>
        </is>
      </c>
      <c r="I188" s="9" t="inlineStr">
        <is>
          <t>Master Outlier treatment</t>
        </is>
      </c>
      <c r="J188" s="9" t="inlineStr">
        <is>
          <t>30 min</t>
        </is>
      </c>
      <c r="K188" s="9" t="inlineStr">
        <is>
          <t>30 min</t>
        </is>
      </c>
      <c r="L188" s="9" t="inlineStr">
        <is>
          <t>Code/Implement Outlier treatment</t>
        </is>
      </c>
      <c r="M188" s="9" t="inlineStr">
        <is>
          <t>15 min</t>
        </is>
      </c>
      <c r="N188" s="9" t="inlineStr">
        <is>
          <t>Why is Outlier treatment necessary before training?</t>
        </is>
      </c>
      <c r="O188" s="9" t="inlineStr">
        <is>
          <t>15 min</t>
        </is>
      </c>
      <c r="P188" s="9" t="inlineStr">
        <is>
          <t>Describe your workflow for Outlier treatment.</t>
        </is>
      </c>
      <c r="Q188" s="9" t="inlineStr">
        <is>
          <t>Build/Refine code</t>
        </is>
      </c>
      <c r="R188" s="9" t="inlineStr">
        <is>
          <t>-</t>
        </is>
      </c>
      <c r="S188" s="10" t="inlineStr">
        <is>
          <t>☐ Not Started</t>
        </is>
      </c>
      <c r="T188" s="10">
        <f>IF(S188="☑ Completed", "COMPLETED", "NOT STARTED")</f>
        <v/>
      </c>
      <c r="U188" s="9" t="inlineStr">
        <is>
          <t>Review Notes for Day 38</t>
        </is>
      </c>
    </row>
    <row r="189">
      <c r="A189" s="10" t="n">
        <v>38</v>
      </c>
      <c r="B189" s="10" t="inlineStr">
        <is>
          <t>2026-10-07</t>
        </is>
      </c>
      <c r="C189" s="10" t="n">
        <v>6</v>
      </c>
      <c r="D189" s="10" t="n">
        <v>2</v>
      </c>
      <c r="E189" s="9" t="inlineStr">
        <is>
          <t>Month 1</t>
        </is>
      </c>
      <c r="F189" s="9" t="inlineStr">
        <is>
          <t>Machine Learning</t>
        </is>
      </c>
      <c r="G189" s="9" t="inlineStr">
        <is>
          <t>Preprocessing</t>
        </is>
      </c>
      <c r="H189" s="9" t="inlineStr">
        <is>
          <t>Hyperparameter tuning</t>
        </is>
      </c>
      <c r="I189" s="9" t="inlineStr">
        <is>
          <t>Master Hyperparameter tuning</t>
        </is>
      </c>
      <c r="J189" s="9" t="inlineStr">
        <is>
          <t>30 min</t>
        </is>
      </c>
      <c r="K189" s="9" t="inlineStr">
        <is>
          <t>30 min</t>
        </is>
      </c>
      <c r="L189" s="9" t="inlineStr">
        <is>
          <t>Code/Implement Hyperparameter tuning</t>
        </is>
      </c>
      <c r="M189" s="9" t="inlineStr">
        <is>
          <t>15 min</t>
        </is>
      </c>
      <c r="N189" s="9" t="inlineStr">
        <is>
          <t>Why is Hyperparameter tuning necessary before training?</t>
        </is>
      </c>
      <c r="O189" s="9" t="inlineStr">
        <is>
          <t>15 min</t>
        </is>
      </c>
      <c r="P189" s="9" t="inlineStr">
        <is>
          <t>Describe your workflow for Hyperparameter tuning.</t>
        </is>
      </c>
      <c r="Q189" s="9" t="inlineStr">
        <is>
          <t>Build/Refine code</t>
        </is>
      </c>
      <c r="R189" s="9" t="inlineStr">
        <is>
          <t>-</t>
        </is>
      </c>
      <c r="S189" s="10" t="inlineStr">
        <is>
          <t>☐ Not Started</t>
        </is>
      </c>
      <c r="T189" s="10">
        <f>IF(S189="☑ Completed", "COMPLETED", "NOT STARTED")</f>
        <v/>
      </c>
      <c r="U189" s="9" t="inlineStr">
        <is>
          <t>Review Notes for Day 38</t>
        </is>
      </c>
    </row>
    <row r="190">
      <c r="A190" s="10" t="n">
        <v>38</v>
      </c>
      <c r="B190" s="10" t="inlineStr">
        <is>
          <t>2026-10-07</t>
        </is>
      </c>
      <c r="C190" s="10" t="n">
        <v>6</v>
      </c>
      <c r="D190" s="10" t="n">
        <v>2</v>
      </c>
      <c r="E190" s="9" t="inlineStr">
        <is>
          <t>Month 1</t>
        </is>
      </c>
      <c r="F190" s="9" t="inlineStr">
        <is>
          <t>Machine Learning</t>
        </is>
      </c>
      <c r="G190" s="9" t="inlineStr">
        <is>
          <t>Metrics</t>
        </is>
      </c>
      <c r="H190" s="9" t="inlineStr">
        <is>
          <t>Accuracy</t>
        </is>
      </c>
      <c r="I190" s="9" t="inlineStr">
        <is>
          <t>Master Accuracy</t>
        </is>
      </c>
      <c r="J190" s="9" t="inlineStr">
        <is>
          <t>30 min</t>
        </is>
      </c>
      <c r="K190" s="9" t="inlineStr">
        <is>
          <t>30 min</t>
        </is>
      </c>
      <c r="L190" s="9" t="inlineStr">
        <is>
          <t>Code/Implement Accuracy</t>
        </is>
      </c>
      <c r="M190" s="9" t="inlineStr">
        <is>
          <t>15 min</t>
        </is>
      </c>
      <c r="N190" s="9" t="inlineStr">
        <is>
          <t>In what scenario is Accuracy the best metric?</t>
        </is>
      </c>
      <c r="O190" s="9" t="inlineStr">
        <is>
          <t>15 min</t>
        </is>
      </c>
      <c r="P190" s="9" t="inlineStr">
        <is>
          <t>Explain what a high Accuracy means for the business.</t>
        </is>
      </c>
      <c r="Q190" s="9" t="inlineStr">
        <is>
          <t>Build/Refine code</t>
        </is>
      </c>
      <c r="R190" s="9" t="inlineStr">
        <is>
          <t>-</t>
        </is>
      </c>
      <c r="S190" s="10" t="inlineStr">
        <is>
          <t>☐ Not Started</t>
        </is>
      </c>
      <c r="T190" s="10">
        <f>IF(S190="☑ Completed", "COMPLETED", "NOT STARTED")</f>
        <v/>
      </c>
      <c r="U190" s="9" t="inlineStr">
        <is>
          <t>Review Notes for Day 38</t>
        </is>
      </c>
    </row>
    <row r="191">
      <c r="A191" s="10" t="n">
        <v>38</v>
      </c>
      <c r="B191" s="10" t="inlineStr">
        <is>
          <t>2026-10-07</t>
        </is>
      </c>
      <c r="C191" s="10" t="n">
        <v>6</v>
      </c>
      <c r="D191" s="10" t="n">
        <v>2</v>
      </c>
      <c r="E191" s="9" t="inlineStr">
        <is>
          <t>Month 1</t>
        </is>
      </c>
      <c r="F191" s="9" t="inlineStr">
        <is>
          <t>Machine Learning</t>
        </is>
      </c>
      <c r="G191" s="9" t="inlineStr">
        <is>
          <t>Metrics</t>
        </is>
      </c>
      <c r="H191" s="9" t="inlineStr">
        <is>
          <t>Precision</t>
        </is>
      </c>
      <c r="I191" s="9" t="inlineStr">
        <is>
          <t>Master Precision</t>
        </is>
      </c>
      <c r="J191" s="9" t="inlineStr">
        <is>
          <t>30 min</t>
        </is>
      </c>
      <c r="K191" s="9" t="inlineStr">
        <is>
          <t>30 min</t>
        </is>
      </c>
      <c r="L191" s="9" t="inlineStr">
        <is>
          <t>Code/Implement Precision</t>
        </is>
      </c>
      <c r="M191" s="9" t="inlineStr">
        <is>
          <t>15 min</t>
        </is>
      </c>
      <c r="N191" s="9" t="inlineStr">
        <is>
          <t>In what scenario is Precision the best metric?</t>
        </is>
      </c>
      <c r="O191" s="9" t="inlineStr">
        <is>
          <t>15 min</t>
        </is>
      </c>
      <c r="P191" s="9" t="inlineStr">
        <is>
          <t>Explain what a high Precision means for the business.</t>
        </is>
      </c>
      <c r="Q191" s="9" t="inlineStr">
        <is>
          <t>Build/Refine code</t>
        </is>
      </c>
      <c r="R191" s="9" t="inlineStr">
        <is>
          <t>-</t>
        </is>
      </c>
      <c r="S191" s="10" t="inlineStr">
        <is>
          <t>☐ Not Started</t>
        </is>
      </c>
      <c r="T191" s="10">
        <f>IF(S191="☑ Completed", "COMPLETED", "NOT STARTED")</f>
        <v/>
      </c>
      <c r="U191" s="9" t="inlineStr">
        <is>
          <t>Review Notes for Day 38</t>
        </is>
      </c>
    </row>
    <row r="192">
      <c r="A192" s="10" t="n">
        <v>39</v>
      </c>
      <c r="B192" s="10" t="inlineStr">
        <is>
          <t>2026-10-08</t>
        </is>
      </c>
      <c r="C192" s="10" t="n">
        <v>6</v>
      </c>
      <c r="D192" s="10" t="n">
        <v>2</v>
      </c>
      <c r="E192" s="9" t="inlineStr">
        <is>
          <t>Month 1</t>
        </is>
      </c>
      <c r="F192" s="9" t="inlineStr">
        <is>
          <t>Machine Learning</t>
        </is>
      </c>
      <c r="G192" s="9" t="inlineStr">
        <is>
          <t>Metrics</t>
        </is>
      </c>
      <c r="H192" s="9" t="inlineStr">
        <is>
          <t>Recall</t>
        </is>
      </c>
      <c r="I192" s="9" t="inlineStr">
        <is>
          <t>Master Recall</t>
        </is>
      </c>
      <c r="J192" s="9" t="inlineStr">
        <is>
          <t>45 min</t>
        </is>
      </c>
      <c r="K192" s="9" t="inlineStr">
        <is>
          <t>45 min</t>
        </is>
      </c>
      <c r="L192" s="9" t="inlineStr">
        <is>
          <t>Code/Implement Recall</t>
        </is>
      </c>
      <c r="M192" s="9" t="inlineStr">
        <is>
          <t>15 min</t>
        </is>
      </c>
      <c r="N192" s="9" t="inlineStr">
        <is>
          <t>In what scenario is Recall the best metric?</t>
        </is>
      </c>
      <c r="O192" s="9" t="inlineStr">
        <is>
          <t>15 min</t>
        </is>
      </c>
      <c r="P192" s="9" t="inlineStr">
        <is>
          <t>Explain what a high Recall means for the business.</t>
        </is>
      </c>
      <c r="Q192" s="9" t="inlineStr">
        <is>
          <t>Build/Refine code</t>
        </is>
      </c>
      <c r="R192" s="9" t="n">
        <v>12</v>
      </c>
      <c r="S192" s="10" t="inlineStr">
        <is>
          <t>☐ Not Started</t>
        </is>
      </c>
      <c r="T192" s="10">
        <f>IF(S192="☑ Completed", "COMPLETED", "NOT STARTED")</f>
        <v/>
      </c>
      <c r="U192" s="9" t="inlineStr">
        <is>
          <t>Review Notes for Day 39</t>
        </is>
      </c>
    </row>
    <row r="193">
      <c r="A193" s="10" t="n">
        <v>39</v>
      </c>
      <c r="B193" s="10" t="inlineStr">
        <is>
          <t>2026-10-08</t>
        </is>
      </c>
      <c r="C193" s="10" t="n">
        <v>6</v>
      </c>
      <c r="D193" s="10" t="n">
        <v>2</v>
      </c>
      <c r="E193" s="9" t="inlineStr">
        <is>
          <t>Month 1</t>
        </is>
      </c>
      <c r="F193" s="9" t="inlineStr">
        <is>
          <t>Machine Learning</t>
        </is>
      </c>
      <c r="G193" s="9" t="inlineStr">
        <is>
          <t>Metrics</t>
        </is>
      </c>
      <c r="H193" s="9" t="inlineStr">
        <is>
          <t>F1-score</t>
        </is>
      </c>
      <c r="I193" s="9" t="inlineStr">
        <is>
          <t>Master F1-score</t>
        </is>
      </c>
      <c r="J193" s="9" t="inlineStr">
        <is>
          <t>30 min</t>
        </is>
      </c>
      <c r="K193" s="9" t="inlineStr">
        <is>
          <t>30 min</t>
        </is>
      </c>
      <c r="L193" s="9" t="inlineStr">
        <is>
          <t>Code/Implement F1-score</t>
        </is>
      </c>
      <c r="M193" s="9" t="inlineStr">
        <is>
          <t>15 min</t>
        </is>
      </c>
      <c r="N193" s="9" t="inlineStr">
        <is>
          <t>In what scenario is F1-score the best metric?</t>
        </is>
      </c>
      <c r="O193" s="9" t="inlineStr">
        <is>
          <t>15 min</t>
        </is>
      </c>
      <c r="P193" s="9" t="inlineStr">
        <is>
          <t>Explain what a high F1-score means for the business.</t>
        </is>
      </c>
      <c r="Q193" s="9" t="inlineStr">
        <is>
          <t>Build/Refine code</t>
        </is>
      </c>
      <c r="R193" s="9" t="inlineStr">
        <is>
          <t>-</t>
        </is>
      </c>
      <c r="S193" s="10" t="inlineStr">
        <is>
          <t>☐ Not Started</t>
        </is>
      </c>
      <c r="T193" s="10">
        <f>IF(S193="☑ Completed", "COMPLETED", "NOT STARTED")</f>
        <v/>
      </c>
      <c r="U193" s="9" t="inlineStr">
        <is>
          <t>Review Notes for Day 39</t>
        </is>
      </c>
    </row>
    <row r="194">
      <c r="A194" s="10" t="n">
        <v>39</v>
      </c>
      <c r="B194" s="10" t="inlineStr">
        <is>
          <t>2026-10-08</t>
        </is>
      </c>
      <c r="C194" s="10" t="n">
        <v>6</v>
      </c>
      <c r="D194" s="10" t="n">
        <v>2</v>
      </c>
      <c r="E194" s="9" t="inlineStr">
        <is>
          <t>Month 1</t>
        </is>
      </c>
      <c r="F194" s="9" t="inlineStr">
        <is>
          <t>Machine Learning</t>
        </is>
      </c>
      <c r="G194" s="9" t="inlineStr">
        <is>
          <t>Metrics</t>
        </is>
      </c>
      <c r="H194" s="9" t="inlineStr">
        <is>
          <t>Confusion matrix</t>
        </is>
      </c>
      <c r="I194" s="9" t="inlineStr">
        <is>
          <t>Master Confusion matrix</t>
        </is>
      </c>
      <c r="J194" s="9" t="inlineStr">
        <is>
          <t>30 min</t>
        </is>
      </c>
      <c r="K194" s="9" t="inlineStr">
        <is>
          <t>30 min</t>
        </is>
      </c>
      <c r="L194" s="9" t="inlineStr">
        <is>
          <t>Code/Implement Confusion matrix</t>
        </is>
      </c>
      <c r="M194" s="9" t="inlineStr">
        <is>
          <t>15 min</t>
        </is>
      </c>
      <c r="N194" s="9" t="inlineStr">
        <is>
          <t>In what scenario is Confusion matrix the best metric?</t>
        </is>
      </c>
      <c r="O194" s="9" t="inlineStr">
        <is>
          <t>15 min</t>
        </is>
      </c>
      <c r="P194" s="9" t="inlineStr">
        <is>
          <t>Explain what a high Confusion matrix means for the business.</t>
        </is>
      </c>
      <c r="Q194" s="9" t="inlineStr">
        <is>
          <t>Build/Refine code</t>
        </is>
      </c>
      <c r="R194" s="9" t="inlineStr">
        <is>
          <t>-</t>
        </is>
      </c>
      <c r="S194" s="10" t="inlineStr">
        <is>
          <t>☐ Not Started</t>
        </is>
      </c>
      <c r="T194" s="10">
        <f>IF(S194="☑ Completed", "COMPLETED", "NOT STARTED")</f>
        <v/>
      </c>
      <c r="U194" s="9" t="inlineStr">
        <is>
          <t>Review Notes for Day 39</t>
        </is>
      </c>
    </row>
    <row r="195">
      <c r="A195" s="10" t="n">
        <v>39</v>
      </c>
      <c r="B195" s="10" t="inlineStr">
        <is>
          <t>2026-10-08</t>
        </is>
      </c>
      <c r="C195" s="10" t="n">
        <v>6</v>
      </c>
      <c r="D195" s="10" t="n">
        <v>2</v>
      </c>
      <c r="E195" s="9" t="inlineStr">
        <is>
          <t>Month 1</t>
        </is>
      </c>
      <c r="F195" s="9" t="inlineStr">
        <is>
          <t>Machine Learning</t>
        </is>
      </c>
      <c r="G195" s="9" t="inlineStr">
        <is>
          <t>Metrics</t>
        </is>
      </c>
      <c r="H195" s="9" t="inlineStr">
        <is>
          <t>ROC-AUC</t>
        </is>
      </c>
      <c r="I195" s="9" t="inlineStr">
        <is>
          <t>Master ROC-AUC</t>
        </is>
      </c>
      <c r="J195" s="9" t="inlineStr">
        <is>
          <t>30 min</t>
        </is>
      </c>
      <c r="K195" s="9" t="inlineStr">
        <is>
          <t>30 min</t>
        </is>
      </c>
      <c r="L195" s="9" t="inlineStr">
        <is>
          <t>Code/Implement ROC-AUC</t>
        </is>
      </c>
      <c r="M195" s="9" t="inlineStr">
        <is>
          <t>15 min</t>
        </is>
      </c>
      <c r="N195" s="9" t="inlineStr">
        <is>
          <t>In what scenario is ROC-AUC the best metric?</t>
        </is>
      </c>
      <c r="O195" s="9" t="inlineStr">
        <is>
          <t>15 min</t>
        </is>
      </c>
      <c r="P195" s="9" t="inlineStr">
        <is>
          <t>Explain what a high ROC-AUC means for the business.</t>
        </is>
      </c>
      <c r="Q195" s="9" t="inlineStr">
        <is>
          <t>Build/Refine code</t>
        </is>
      </c>
      <c r="R195" s="9" t="inlineStr">
        <is>
          <t>-</t>
        </is>
      </c>
      <c r="S195" s="10" t="inlineStr">
        <is>
          <t>☐ Not Started</t>
        </is>
      </c>
      <c r="T195" s="10">
        <f>IF(S195="☑ Completed", "COMPLETED", "NOT STARTED")</f>
        <v/>
      </c>
      <c r="U195" s="9" t="inlineStr">
        <is>
          <t>Review Notes for Day 39</t>
        </is>
      </c>
    </row>
    <row r="196">
      <c r="A196" s="10" t="n">
        <v>39</v>
      </c>
      <c r="B196" s="10" t="inlineStr">
        <is>
          <t>2026-10-08</t>
        </is>
      </c>
      <c r="C196" s="10" t="n">
        <v>6</v>
      </c>
      <c r="D196" s="10" t="n">
        <v>2</v>
      </c>
      <c r="E196" s="9" t="inlineStr">
        <is>
          <t>Month 1</t>
        </is>
      </c>
      <c r="F196" s="9" t="inlineStr">
        <is>
          <t>Machine Learning</t>
        </is>
      </c>
      <c r="G196" s="9" t="inlineStr">
        <is>
          <t>Metrics</t>
        </is>
      </c>
      <c r="H196" s="9" t="inlineStr">
        <is>
          <t>MAE</t>
        </is>
      </c>
      <c r="I196" s="9" t="inlineStr">
        <is>
          <t>Master MAE</t>
        </is>
      </c>
      <c r="J196" s="9" t="inlineStr">
        <is>
          <t>30 min</t>
        </is>
      </c>
      <c r="K196" s="9" t="inlineStr">
        <is>
          <t>30 min</t>
        </is>
      </c>
      <c r="L196" s="9" t="inlineStr">
        <is>
          <t>Code/Implement MAE</t>
        </is>
      </c>
      <c r="M196" s="9" t="inlineStr">
        <is>
          <t>15 min</t>
        </is>
      </c>
      <c r="N196" s="9" t="inlineStr">
        <is>
          <t>In what scenario is MAE the best metric?</t>
        </is>
      </c>
      <c r="O196" s="9" t="inlineStr">
        <is>
          <t>15 min</t>
        </is>
      </c>
      <c r="P196" s="9" t="inlineStr">
        <is>
          <t>Explain what a high MAE means for the business.</t>
        </is>
      </c>
      <c r="Q196" s="9" t="inlineStr">
        <is>
          <t>Build/Refine code</t>
        </is>
      </c>
      <c r="R196" s="9" t="inlineStr">
        <is>
          <t>-</t>
        </is>
      </c>
      <c r="S196" s="10" t="inlineStr">
        <is>
          <t>☐ Not Started</t>
        </is>
      </c>
      <c r="T196" s="10">
        <f>IF(S196="☑ Completed", "COMPLETED", "NOT STARTED")</f>
        <v/>
      </c>
      <c r="U196" s="9" t="inlineStr">
        <is>
          <t>Review Notes for Day 39</t>
        </is>
      </c>
    </row>
    <row r="197">
      <c r="A197" s="10" t="n">
        <v>40</v>
      </c>
      <c r="B197" s="10" t="inlineStr">
        <is>
          <t>2026-10-09</t>
        </is>
      </c>
      <c r="C197" s="10" t="n">
        <v>6</v>
      </c>
      <c r="D197" s="10" t="n">
        <v>2</v>
      </c>
      <c r="E197" s="9" t="inlineStr">
        <is>
          <t>Month 1</t>
        </is>
      </c>
      <c r="F197" s="9" t="inlineStr">
        <is>
          <t>Machine Learning</t>
        </is>
      </c>
      <c r="G197" s="9" t="inlineStr">
        <is>
          <t>Metrics</t>
        </is>
      </c>
      <c r="H197" s="9" t="inlineStr">
        <is>
          <t>MSE</t>
        </is>
      </c>
      <c r="I197" s="9" t="inlineStr">
        <is>
          <t>Master MSE</t>
        </is>
      </c>
      <c r="J197" s="9" t="inlineStr">
        <is>
          <t>45 min</t>
        </is>
      </c>
      <c r="K197" s="9" t="inlineStr">
        <is>
          <t>45 min</t>
        </is>
      </c>
      <c r="L197" s="9" t="inlineStr">
        <is>
          <t>Code/Implement MSE</t>
        </is>
      </c>
      <c r="M197" s="9" t="inlineStr">
        <is>
          <t>15 min</t>
        </is>
      </c>
      <c r="N197" s="9" t="inlineStr">
        <is>
          <t>In what scenario is MSE the best metric?</t>
        </is>
      </c>
      <c r="O197" s="9" t="inlineStr">
        <is>
          <t>15 min</t>
        </is>
      </c>
      <c r="P197" s="9" t="inlineStr">
        <is>
          <t>Explain what a high MSE means for the business.</t>
        </is>
      </c>
      <c r="Q197" s="9" t="inlineStr">
        <is>
          <t>Build/Refine code</t>
        </is>
      </c>
      <c r="R197" s="9" t="n">
        <v>12</v>
      </c>
      <c r="S197" s="10" t="inlineStr">
        <is>
          <t>☐ Not Started</t>
        </is>
      </c>
      <c r="T197" s="10">
        <f>IF(S197="☑ Completed", "COMPLETED", "NOT STARTED")</f>
        <v/>
      </c>
      <c r="U197" s="9" t="inlineStr">
        <is>
          <t>Review Notes for Day 40</t>
        </is>
      </c>
    </row>
    <row r="198">
      <c r="A198" s="10" t="n">
        <v>40</v>
      </c>
      <c r="B198" s="10" t="inlineStr">
        <is>
          <t>2026-10-09</t>
        </is>
      </c>
      <c r="C198" s="10" t="n">
        <v>6</v>
      </c>
      <c r="D198" s="10" t="n">
        <v>2</v>
      </c>
      <c r="E198" s="9" t="inlineStr">
        <is>
          <t>Month 1</t>
        </is>
      </c>
      <c r="F198" s="9" t="inlineStr">
        <is>
          <t>Machine Learning</t>
        </is>
      </c>
      <c r="G198" s="9" t="inlineStr">
        <is>
          <t>Metrics</t>
        </is>
      </c>
      <c r="H198" s="9" t="inlineStr">
        <is>
          <t>RMSE</t>
        </is>
      </c>
      <c r="I198" s="9" t="inlineStr">
        <is>
          <t>Master RMSE</t>
        </is>
      </c>
      <c r="J198" s="9" t="inlineStr">
        <is>
          <t>30 min</t>
        </is>
      </c>
      <c r="K198" s="9" t="inlineStr">
        <is>
          <t>30 min</t>
        </is>
      </c>
      <c r="L198" s="9" t="inlineStr">
        <is>
          <t>Code/Implement RMSE</t>
        </is>
      </c>
      <c r="M198" s="9" t="inlineStr">
        <is>
          <t>15 min</t>
        </is>
      </c>
      <c r="N198" s="9" t="inlineStr">
        <is>
          <t>In what scenario is RMSE the best metric?</t>
        </is>
      </c>
      <c r="O198" s="9" t="inlineStr">
        <is>
          <t>15 min</t>
        </is>
      </c>
      <c r="P198" s="9" t="inlineStr">
        <is>
          <t>Explain what a high RMSE means for the business.</t>
        </is>
      </c>
      <c r="Q198" s="9" t="inlineStr">
        <is>
          <t>Build/Refine code</t>
        </is>
      </c>
      <c r="R198" s="9" t="inlineStr">
        <is>
          <t>-</t>
        </is>
      </c>
      <c r="S198" s="10" t="inlineStr">
        <is>
          <t>☐ Not Started</t>
        </is>
      </c>
      <c r="T198" s="10">
        <f>IF(S198="☑ Completed", "COMPLETED", "NOT STARTED")</f>
        <v/>
      </c>
      <c r="U198" s="9" t="inlineStr">
        <is>
          <t>Review Notes for Day 40</t>
        </is>
      </c>
    </row>
    <row r="199">
      <c r="A199" s="10" t="n">
        <v>40</v>
      </c>
      <c r="B199" s="10" t="inlineStr">
        <is>
          <t>2026-10-09</t>
        </is>
      </c>
      <c r="C199" s="10" t="n">
        <v>6</v>
      </c>
      <c r="D199" s="10" t="n">
        <v>2</v>
      </c>
      <c r="E199" s="9" t="inlineStr">
        <is>
          <t>Month 1</t>
        </is>
      </c>
      <c r="F199" s="9" t="inlineStr">
        <is>
          <t>Machine Learning</t>
        </is>
      </c>
      <c r="G199" s="9" t="inlineStr">
        <is>
          <t>Metrics</t>
        </is>
      </c>
      <c r="H199" s="9" t="inlineStr">
        <is>
          <t>R2</t>
        </is>
      </c>
      <c r="I199" s="9" t="inlineStr">
        <is>
          <t>Master R2</t>
        </is>
      </c>
      <c r="J199" s="9" t="inlineStr">
        <is>
          <t>30 min</t>
        </is>
      </c>
      <c r="K199" s="9" t="inlineStr">
        <is>
          <t>30 min</t>
        </is>
      </c>
      <c r="L199" s="9" t="inlineStr">
        <is>
          <t>Code/Implement R2</t>
        </is>
      </c>
      <c r="M199" s="9" t="inlineStr">
        <is>
          <t>15 min</t>
        </is>
      </c>
      <c r="N199" s="9" t="inlineStr">
        <is>
          <t>In what scenario is R2 the best metric?</t>
        </is>
      </c>
      <c r="O199" s="9" t="inlineStr">
        <is>
          <t>15 min</t>
        </is>
      </c>
      <c r="P199" s="9" t="inlineStr">
        <is>
          <t>Explain what a high R2 means for the business.</t>
        </is>
      </c>
      <c r="Q199" s="9" t="inlineStr">
        <is>
          <t>Build/Refine code</t>
        </is>
      </c>
      <c r="R199" s="9" t="inlineStr">
        <is>
          <t>-</t>
        </is>
      </c>
      <c r="S199" s="10" t="inlineStr">
        <is>
          <t>☐ Not Started</t>
        </is>
      </c>
      <c r="T199" s="10">
        <f>IF(S199="☑ Completed", "COMPLETED", "NOT STARTED")</f>
        <v/>
      </c>
      <c r="U199" s="9" t="inlineStr">
        <is>
          <t>Review Notes for Day 40</t>
        </is>
      </c>
    </row>
    <row r="200">
      <c r="A200" s="10" t="n">
        <v>40</v>
      </c>
      <c r="B200" s="10" t="inlineStr">
        <is>
          <t>2026-10-09</t>
        </is>
      </c>
      <c r="C200" s="10" t="n">
        <v>6</v>
      </c>
      <c r="D200" s="10" t="n">
        <v>2</v>
      </c>
      <c r="E200" s="9" t="inlineStr">
        <is>
          <t>Month 1</t>
        </is>
      </c>
      <c r="F200" s="9" t="inlineStr">
        <is>
          <t>Project</t>
        </is>
      </c>
      <c r="G200" s="9" t="inlineStr">
        <is>
          <t>Churn Prediction</t>
        </is>
      </c>
      <c r="H200" s="9" t="inlineStr">
        <is>
          <t>Dataset understanding</t>
        </is>
      </c>
      <c r="I200" s="9" t="inlineStr">
        <is>
          <t>Master Dataset understanding</t>
        </is>
      </c>
      <c r="J200" s="9" t="inlineStr">
        <is>
          <t>30 min</t>
        </is>
      </c>
      <c r="K200" s="9" t="inlineStr">
        <is>
          <t>30 min</t>
        </is>
      </c>
      <c r="L200" s="9" t="inlineStr">
        <is>
          <t>Code/Implement Dataset understanding</t>
        </is>
      </c>
      <c r="M200" s="9" t="inlineStr">
        <is>
          <t>15 min</t>
        </is>
      </c>
      <c r="N200" s="9" t="inlineStr">
        <is>
          <t>Walk me through your decision making for Dataset understanding.</t>
        </is>
      </c>
      <c r="O200" s="9" t="inlineStr">
        <is>
          <t>15 min</t>
        </is>
      </c>
      <c r="P200" s="9" t="inlineStr">
        <is>
          <t>Present your project's Dataset understanding phase.</t>
        </is>
      </c>
      <c r="Q200" s="9" t="inlineStr">
        <is>
          <t>Build/Refine code</t>
        </is>
      </c>
      <c r="R200" s="9" t="inlineStr">
        <is>
          <t>-</t>
        </is>
      </c>
      <c r="S200" s="10" t="inlineStr">
        <is>
          <t>☐ Not Started</t>
        </is>
      </c>
      <c r="T200" s="10">
        <f>IF(S200="☑ Completed", "COMPLETED", "NOT STARTED")</f>
        <v/>
      </c>
      <c r="U200" s="9" t="inlineStr">
        <is>
          <t>Review Notes for Day 40</t>
        </is>
      </c>
    </row>
    <row r="201">
      <c r="A201" s="10" t="n">
        <v>40</v>
      </c>
      <c r="B201" s="10" t="inlineStr">
        <is>
          <t>2026-10-09</t>
        </is>
      </c>
      <c r="C201" s="10" t="n">
        <v>6</v>
      </c>
      <c r="D201" s="10" t="n">
        <v>2</v>
      </c>
      <c r="E201" s="9" t="inlineStr">
        <is>
          <t>Month 1</t>
        </is>
      </c>
      <c r="F201" s="9" t="inlineStr">
        <is>
          <t>Project</t>
        </is>
      </c>
      <c r="G201" s="9" t="inlineStr">
        <is>
          <t>Churn Prediction</t>
        </is>
      </c>
      <c r="H201" s="9" t="inlineStr">
        <is>
          <t>Dataset loading</t>
        </is>
      </c>
      <c r="I201" s="9" t="inlineStr">
        <is>
          <t>Master Dataset loading</t>
        </is>
      </c>
      <c r="J201" s="9" t="inlineStr">
        <is>
          <t>30 min</t>
        </is>
      </c>
      <c r="K201" s="9" t="inlineStr">
        <is>
          <t>30 min</t>
        </is>
      </c>
      <c r="L201" s="9" t="inlineStr">
        <is>
          <t>Code/Implement Dataset loading</t>
        </is>
      </c>
      <c r="M201" s="9" t="inlineStr">
        <is>
          <t>15 min</t>
        </is>
      </c>
      <c r="N201" s="9" t="inlineStr">
        <is>
          <t>Walk me through your decision making for Dataset loading.</t>
        </is>
      </c>
      <c r="O201" s="9" t="inlineStr">
        <is>
          <t>15 min</t>
        </is>
      </c>
      <c r="P201" s="9" t="inlineStr">
        <is>
          <t>Present your project's Dataset loading phase.</t>
        </is>
      </c>
      <c r="Q201" s="9" t="inlineStr">
        <is>
          <t>Build/Refine code</t>
        </is>
      </c>
      <c r="R201" s="9" t="inlineStr">
        <is>
          <t>-</t>
        </is>
      </c>
      <c r="S201" s="10" t="inlineStr">
        <is>
          <t>☐ Not Started</t>
        </is>
      </c>
      <c r="T201" s="10">
        <f>IF(S201="☑ Completed", "COMPLETED", "NOT STARTED")</f>
        <v/>
      </c>
      <c r="U201" s="9" t="inlineStr">
        <is>
          <t>Review Notes for Day 40</t>
        </is>
      </c>
    </row>
    <row r="202">
      <c r="A202" s="10" t="n">
        <v>41</v>
      </c>
      <c r="B202" s="10" t="inlineStr">
        <is>
          <t>2026-10-10</t>
        </is>
      </c>
      <c r="C202" s="10" t="n">
        <v>6</v>
      </c>
      <c r="D202" s="10" t="n">
        <v>2</v>
      </c>
      <c r="E202" s="9" t="inlineStr">
        <is>
          <t>Month 1</t>
        </is>
      </c>
      <c r="F202" s="9" t="inlineStr">
        <is>
          <t>Project</t>
        </is>
      </c>
      <c r="G202" s="9" t="inlineStr">
        <is>
          <t>Churn Prediction</t>
        </is>
      </c>
      <c r="H202" s="9" t="inlineStr">
        <is>
          <t>EDA</t>
        </is>
      </c>
      <c r="I202" s="9" t="inlineStr">
        <is>
          <t>Master EDA</t>
        </is>
      </c>
      <c r="J202" s="9" t="inlineStr">
        <is>
          <t>45 min</t>
        </is>
      </c>
      <c r="K202" s="9" t="inlineStr">
        <is>
          <t>45 min</t>
        </is>
      </c>
      <c r="L202" s="9" t="inlineStr">
        <is>
          <t>Code/Implement EDA</t>
        </is>
      </c>
      <c r="M202" s="9" t="inlineStr">
        <is>
          <t>15 min</t>
        </is>
      </c>
      <c r="N202" s="9" t="inlineStr">
        <is>
          <t>Walk me through your decision making for EDA.</t>
        </is>
      </c>
      <c r="O202" s="9" t="inlineStr">
        <is>
          <t>15 min</t>
        </is>
      </c>
      <c r="P202" s="9" t="inlineStr">
        <is>
          <t>Present your project's EDA phase.</t>
        </is>
      </c>
      <c r="Q202" s="9" t="inlineStr">
        <is>
          <t>Build/Refine code</t>
        </is>
      </c>
      <c r="R202" s="9" t="n">
        <v>12</v>
      </c>
      <c r="S202" s="10" t="inlineStr">
        <is>
          <t>☐ Not Started</t>
        </is>
      </c>
      <c r="T202" s="10">
        <f>IF(S202="☑ Completed", "COMPLETED", "NOT STARTED")</f>
        <v/>
      </c>
      <c r="U202" s="9" t="inlineStr">
        <is>
          <t>Review Notes for Day 41</t>
        </is>
      </c>
    </row>
    <row r="203">
      <c r="A203" s="10" t="n">
        <v>41</v>
      </c>
      <c r="B203" s="10" t="inlineStr">
        <is>
          <t>2026-10-10</t>
        </is>
      </c>
      <c r="C203" s="10" t="n">
        <v>6</v>
      </c>
      <c r="D203" s="10" t="n">
        <v>2</v>
      </c>
      <c r="E203" s="9" t="inlineStr">
        <is>
          <t>Month 1</t>
        </is>
      </c>
      <c r="F203" s="9" t="inlineStr">
        <is>
          <t>Project</t>
        </is>
      </c>
      <c r="G203" s="9" t="inlineStr">
        <is>
          <t>Churn Prediction</t>
        </is>
      </c>
      <c r="H203" s="9" t="inlineStr">
        <is>
          <t>Missing values</t>
        </is>
      </c>
      <c r="I203" s="9" t="inlineStr">
        <is>
          <t>Master Missing values</t>
        </is>
      </c>
      <c r="J203" s="9" t="inlineStr">
        <is>
          <t>30 min</t>
        </is>
      </c>
      <c r="K203" s="9" t="inlineStr">
        <is>
          <t>30 min</t>
        </is>
      </c>
      <c r="L203" s="9" t="inlineStr">
        <is>
          <t>Code/Implement Missing values</t>
        </is>
      </c>
      <c r="M203" s="9" t="inlineStr">
        <is>
          <t>15 min</t>
        </is>
      </c>
      <c r="N203" s="9" t="inlineStr">
        <is>
          <t>Walk me through your decision making for Missing values.</t>
        </is>
      </c>
      <c r="O203" s="9" t="inlineStr">
        <is>
          <t>15 min</t>
        </is>
      </c>
      <c r="P203" s="9" t="inlineStr">
        <is>
          <t>Present your project's Missing values phase.</t>
        </is>
      </c>
      <c r="Q203" s="9" t="inlineStr">
        <is>
          <t>Build/Refine code</t>
        </is>
      </c>
      <c r="R203" s="9" t="inlineStr">
        <is>
          <t>-</t>
        </is>
      </c>
      <c r="S203" s="10" t="inlineStr">
        <is>
          <t>☐ Not Started</t>
        </is>
      </c>
      <c r="T203" s="10">
        <f>IF(S203="☑ Completed", "COMPLETED", "NOT STARTED")</f>
        <v/>
      </c>
      <c r="U203" s="9" t="inlineStr">
        <is>
          <t>Review Notes for Day 41</t>
        </is>
      </c>
    </row>
    <row r="204">
      <c r="A204" s="10" t="n">
        <v>41</v>
      </c>
      <c r="B204" s="10" t="inlineStr">
        <is>
          <t>2026-10-10</t>
        </is>
      </c>
      <c r="C204" s="10" t="n">
        <v>6</v>
      </c>
      <c r="D204" s="10" t="n">
        <v>2</v>
      </c>
      <c r="E204" s="9" t="inlineStr">
        <is>
          <t>Month 1</t>
        </is>
      </c>
      <c r="F204" s="9" t="inlineStr">
        <is>
          <t>Project</t>
        </is>
      </c>
      <c r="G204" s="9" t="inlineStr">
        <is>
          <t>Churn Prediction</t>
        </is>
      </c>
      <c r="H204" s="9" t="inlineStr">
        <is>
          <t>Duplicate handling</t>
        </is>
      </c>
      <c r="I204" s="9" t="inlineStr">
        <is>
          <t>Master Duplicate handling</t>
        </is>
      </c>
      <c r="J204" s="9" t="inlineStr">
        <is>
          <t>30 min</t>
        </is>
      </c>
      <c r="K204" s="9" t="inlineStr">
        <is>
          <t>30 min</t>
        </is>
      </c>
      <c r="L204" s="9" t="inlineStr">
        <is>
          <t>Code/Implement Duplicate handling</t>
        </is>
      </c>
      <c r="M204" s="9" t="inlineStr">
        <is>
          <t>15 min</t>
        </is>
      </c>
      <c r="N204" s="9" t="inlineStr">
        <is>
          <t>Walk me through your decision making for Duplicate handling.</t>
        </is>
      </c>
      <c r="O204" s="9" t="inlineStr">
        <is>
          <t>15 min</t>
        </is>
      </c>
      <c r="P204" s="9" t="inlineStr">
        <is>
          <t>Present your project's Duplicate handling phase.</t>
        </is>
      </c>
      <c r="Q204" s="9" t="inlineStr">
        <is>
          <t>Build/Refine code</t>
        </is>
      </c>
      <c r="R204" s="9" t="inlineStr">
        <is>
          <t>-</t>
        </is>
      </c>
      <c r="S204" s="10" t="inlineStr">
        <is>
          <t>☐ Not Started</t>
        </is>
      </c>
      <c r="T204" s="10">
        <f>IF(S204="☑ Completed", "COMPLETED", "NOT STARTED")</f>
        <v/>
      </c>
      <c r="U204" s="9" t="inlineStr">
        <is>
          <t>Review Notes for Day 41</t>
        </is>
      </c>
    </row>
    <row r="205">
      <c r="A205" s="10" t="n">
        <v>41</v>
      </c>
      <c r="B205" s="10" t="inlineStr">
        <is>
          <t>2026-10-10</t>
        </is>
      </c>
      <c r="C205" s="10" t="n">
        <v>6</v>
      </c>
      <c r="D205" s="10" t="n">
        <v>2</v>
      </c>
      <c r="E205" s="9" t="inlineStr">
        <is>
          <t>Month 1</t>
        </is>
      </c>
      <c r="F205" s="9" t="inlineStr">
        <is>
          <t>Project</t>
        </is>
      </c>
      <c r="G205" s="9" t="inlineStr">
        <is>
          <t>Churn Prediction</t>
        </is>
      </c>
      <c r="H205" s="9" t="inlineStr">
        <is>
          <t>Outlier analysis</t>
        </is>
      </c>
      <c r="I205" s="9" t="inlineStr">
        <is>
          <t>Master Outlier analysis</t>
        </is>
      </c>
      <c r="J205" s="9" t="inlineStr">
        <is>
          <t>30 min</t>
        </is>
      </c>
      <c r="K205" s="9" t="inlineStr">
        <is>
          <t>30 min</t>
        </is>
      </c>
      <c r="L205" s="9" t="inlineStr">
        <is>
          <t>Code/Implement Outlier analysis</t>
        </is>
      </c>
      <c r="M205" s="9" t="inlineStr">
        <is>
          <t>15 min</t>
        </is>
      </c>
      <c r="N205" s="9" t="inlineStr">
        <is>
          <t>Walk me through your decision making for Outlier analysis.</t>
        </is>
      </c>
      <c r="O205" s="9" t="inlineStr">
        <is>
          <t>15 min</t>
        </is>
      </c>
      <c r="P205" s="9" t="inlineStr">
        <is>
          <t>Present your project's Outlier analysis phase.</t>
        </is>
      </c>
      <c r="Q205" s="9" t="inlineStr">
        <is>
          <t>Build/Refine code</t>
        </is>
      </c>
      <c r="R205" s="9" t="inlineStr">
        <is>
          <t>-</t>
        </is>
      </c>
      <c r="S205" s="10" t="inlineStr">
        <is>
          <t>☐ Not Started</t>
        </is>
      </c>
      <c r="T205" s="10">
        <f>IF(S205="☑ Completed", "COMPLETED", "NOT STARTED")</f>
        <v/>
      </c>
      <c r="U205" s="9" t="inlineStr">
        <is>
          <t>Review Notes for Day 41</t>
        </is>
      </c>
    </row>
    <row r="206">
      <c r="A206" s="10" t="n">
        <v>41</v>
      </c>
      <c r="B206" s="10" t="inlineStr">
        <is>
          <t>2026-10-10</t>
        </is>
      </c>
      <c r="C206" s="10" t="n">
        <v>6</v>
      </c>
      <c r="D206" s="10" t="n">
        <v>2</v>
      </c>
      <c r="E206" s="9" t="inlineStr">
        <is>
          <t>Month 1</t>
        </is>
      </c>
      <c r="F206" s="9" t="inlineStr">
        <is>
          <t>Project</t>
        </is>
      </c>
      <c r="G206" s="9" t="inlineStr">
        <is>
          <t>Churn Prediction</t>
        </is>
      </c>
      <c r="H206" s="9" t="inlineStr">
        <is>
          <t>Feature engineering</t>
        </is>
      </c>
      <c r="I206" s="9" t="inlineStr">
        <is>
          <t>Master Feature engineering</t>
        </is>
      </c>
      <c r="J206" s="9" t="inlineStr">
        <is>
          <t>30 min</t>
        </is>
      </c>
      <c r="K206" s="9" t="inlineStr">
        <is>
          <t>30 min</t>
        </is>
      </c>
      <c r="L206" s="9" t="inlineStr">
        <is>
          <t>Code/Implement Feature engineering</t>
        </is>
      </c>
      <c r="M206" s="9" t="inlineStr">
        <is>
          <t>15 min</t>
        </is>
      </c>
      <c r="N206" s="9" t="inlineStr">
        <is>
          <t>Walk me through your decision making for Feature engineering.</t>
        </is>
      </c>
      <c r="O206" s="9" t="inlineStr">
        <is>
          <t>15 min</t>
        </is>
      </c>
      <c r="P206" s="9" t="inlineStr">
        <is>
          <t>Present your project's Feature engineering phase.</t>
        </is>
      </c>
      <c r="Q206" s="9" t="inlineStr">
        <is>
          <t>Build/Refine code</t>
        </is>
      </c>
      <c r="R206" s="9" t="inlineStr">
        <is>
          <t>-</t>
        </is>
      </c>
      <c r="S206" s="10" t="inlineStr">
        <is>
          <t>☐ Not Started</t>
        </is>
      </c>
      <c r="T206" s="10">
        <f>IF(S206="☑ Completed", "COMPLETED", "NOT STARTED")</f>
        <v/>
      </c>
      <c r="U206" s="9" t="inlineStr">
        <is>
          <t>Review Notes for Day 41</t>
        </is>
      </c>
    </row>
    <row r="207">
      <c r="A207" s="10" t="n">
        <v>42</v>
      </c>
      <c r="B207" s="10" t="inlineStr">
        <is>
          <t>2026-10-11</t>
        </is>
      </c>
      <c r="C207" s="10" t="n">
        <v>6</v>
      </c>
      <c r="D207" s="10" t="n">
        <v>2</v>
      </c>
      <c r="E207" s="9" t="inlineStr">
        <is>
          <t>Month 1</t>
        </is>
      </c>
      <c r="F207" s="9" t="inlineStr">
        <is>
          <t>Project</t>
        </is>
      </c>
      <c r="G207" s="9" t="inlineStr">
        <is>
          <t>Churn Prediction</t>
        </is>
      </c>
      <c r="H207" s="9" t="inlineStr">
        <is>
          <t>Encoding</t>
        </is>
      </c>
      <c r="I207" s="9" t="inlineStr">
        <is>
          <t>Master Encoding</t>
        </is>
      </c>
      <c r="J207" s="9" t="inlineStr">
        <is>
          <t>45 min</t>
        </is>
      </c>
      <c r="K207" s="9" t="inlineStr">
        <is>
          <t>45 min</t>
        </is>
      </c>
      <c r="L207" s="9" t="inlineStr">
        <is>
          <t>Code/Implement Encoding</t>
        </is>
      </c>
      <c r="M207" s="9" t="inlineStr">
        <is>
          <t>15 min</t>
        </is>
      </c>
      <c r="N207" s="9" t="inlineStr">
        <is>
          <t>Walk me through your decision making for Encoding.</t>
        </is>
      </c>
      <c r="O207" s="9" t="inlineStr">
        <is>
          <t>15 min</t>
        </is>
      </c>
      <c r="P207" s="9" t="inlineStr">
        <is>
          <t>Present your project's Encoding phase.</t>
        </is>
      </c>
      <c r="Q207" s="9" t="inlineStr">
        <is>
          <t>Build/Refine code</t>
        </is>
      </c>
      <c r="R207" s="9" t="n">
        <v>12</v>
      </c>
      <c r="S207" s="10" t="inlineStr">
        <is>
          <t>☐ Not Started</t>
        </is>
      </c>
      <c r="T207" s="10">
        <f>IF(S207="☑ Completed", "COMPLETED", "NOT STARTED")</f>
        <v/>
      </c>
      <c r="U207" s="9" t="inlineStr">
        <is>
          <t>Review Notes for Day 42</t>
        </is>
      </c>
    </row>
    <row r="208">
      <c r="A208" s="10" t="n">
        <v>42</v>
      </c>
      <c r="B208" s="10" t="inlineStr">
        <is>
          <t>2026-10-11</t>
        </is>
      </c>
      <c r="C208" s="10" t="n">
        <v>6</v>
      </c>
      <c r="D208" s="10" t="n">
        <v>2</v>
      </c>
      <c r="E208" s="9" t="inlineStr">
        <is>
          <t>Month 1</t>
        </is>
      </c>
      <c r="F208" s="9" t="inlineStr">
        <is>
          <t>Project</t>
        </is>
      </c>
      <c r="G208" s="9" t="inlineStr">
        <is>
          <t>Churn Prediction</t>
        </is>
      </c>
      <c r="H208" s="9" t="inlineStr">
        <is>
          <t>Scaling</t>
        </is>
      </c>
      <c r="I208" s="9" t="inlineStr">
        <is>
          <t>Master Scaling</t>
        </is>
      </c>
      <c r="J208" s="9" t="inlineStr">
        <is>
          <t>30 min</t>
        </is>
      </c>
      <c r="K208" s="9" t="inlineStr">
        <is>
          <t>30 min</t>
        </is>
      </c>
      <c r="L208" s="9" t="inlineStr">
        <is>
          <t>Code/Implement Scaling</t>
        </is>
      </c>
      <c r="M208" s="9" t="inlineStr">
        <is>
          <t>15 min</t>
        </is>
      </c>
      <c r="N208" s="9" t="inlineStr">
        <is>
          <t>Walk me through your decision making for Scaling.</t>
        </is>
      </c>
      <c r="O208" s="9" t="inlineStr">
        <is>
          <t>15 min</t>
        </is>
      </c>
      <c r="P208" s="9" t="inlineStr">
        <is>
          <t>Present your project's Scaling phase.</t>
        </is>
      </c>
      <c r="Q208" s="9" t="inlineStr">
        <is>
          <t>Build/Refine code</t>
        </is>
      </c>
      <c r="R208" s="9" t="inlineStr">
        <is>
          <t>-</t>
        </is>
      </c>
      <c r="S208" s="10" t="inlineStr">
        <is>
          <t>☐ Not Started</t>
        </is>
      </c>
      <c r="T208" s="10">
        <f>IF(S208="☑ Completed", "COMPLETED", "NOT STARTED")</f>
        <v/>
      </c>
      <c r="U208" s="9" t="inlineStr">
        <is>
          <t>Review Notes for Day 42</t>
        </is>
      </c>
    </row>
    <row r="209">
      <c r="A209" s="10" t="n">
        <v>42</v>
      </c>
      <c r="B209" s="10" t="inlineStr">
        <is>
          <t>2026-10-11</t>
        </is>
      </c>
      <c r="C209" s="10" t="n">
        <v>6</v>
      </c>
      <c r="D209" s="10" t="n">
        <v>2</v>
      </c>
      <c r="E209" s="9" t="inlineStr">
        <is>
          <t>Month 1</t>
        </is>
      </c>
      <c r="F209" s="9" t="inlineStr">
        <is>
          <t>Project</t>
        </is>
      </c>
      <c r="G209" s="9" t="inlineStr">
        <is>
          <t>Churn Prediction</t>
        </is>
      </c>
      <c r="H209" s="9" t="inlineStr">
        <is>
          <t>Train/test split</t>
        </is>
      </c>
      <c r="I209" s="9" t="inlineStr">
        <is>
          <t>Master Train/test split</t>
        </is>
      </c>
      <c r="J209" s="9" t="inlineStr">
        <is>
          <t>30 min</t>
        </is>
      </c>
      <c r="K209" s="9" t="inlineStr">
        <is>
          <t>30 min</t>
        </is>
      </c>
      <c r="L209" s="9" t="inlineStr">
        <is>
          <t>Code/Implement Train/test split</t>
        </is>
      </c>
      <c r="M209" s="9" t="inlineStr">
        <is>
          <t>15 min</t>
        </is>
      </c>
      <c r="N209" s="9" t="inlineStr">
        <is>
          <t>Walk me through your decision making for Train/test split.</t>
        </is>
      </c>
      <c r="O209" s="9" t="inlineStr">
        <is>
          <t>15 min</t>
        </is>
      </c>
      <c r="P209" s="9" t="inlineStr">
        <is>
          <t>Present your project's Train/test split phase.</t>
        </is>
      </c>
      <c r="Q209" s="9" t="inlineStr">
        <is>
          <t>Build/Refine code</t>
        </is>
      </c>
      <c r="R209" s="9" t="inlineStr">
        <is>
          <t>-</t>
        </is>
      </c>
      <c r="S209" s="10" t="inlineStr">
        <is>
          <t>☐ Not Started</t>
        </is>
      </c>
      <c r="T209" s="10">
        <f>IF(S209="☑ Completed", "COMPLETED", "NOT STARTED")</f>
        <v/>
      </c>
      <c r="U209" s="9" t="inlineStr">
        <is>
          <t>Review Notes for Day 42</t>
        </is>
      </c>
    </row>
    <row r="210">
      <c r="A210" s="10" t="n">
        <v>42</v>
      </c>
      <c r="B210" s="10" t="inlineStr">
        <is>
          <t>2026-10-11</t>
        </is>
      </c>
      <c r="C210" s="10" t="n">
        <v>6</v>
      </c>
      <c r="D210" s="10" t="n">
        <v>2</v>
      </c>
      <c r="E210" s="9" t="inlineStr">
        <is>
          <t>Month 1</t>
        </is>
      </c>
      <c r="F210" s="9" t="inlineStr">
        <is>
          <t>Project</t>
        </is>
      </c>
      <c r="G210" s="9" t="inlineStr">
        <is>
          <t>Churn Prediction</t>
        </is>
      </c>
      <c r="H210" s="9" t="inlineStr">
        <is>
          <t>Model 1</t>
        </is>
      </c>
      <c r="I210" s="9" t="inlineStr">
        <is>
          <t>Master Model 1</t>
        </is>
      </c>
      <c r="J210" s="9" t="inlineStr">
        <is>
          <t>30 min</t>
        </is>
      </c>
      <c r="K210" s="9" t="inlineStr">
        <is>
          <t>30 min</t>
        </is>
      </c>
      <c r="L210" s="9" t="inlineStr">
        <is>
          <t>Code/Implement Model 1</t>
        </is>
      </c>
      <c r="M210" s="9" t="inlineStr">
        <is>
          <t>15 min</t>
        </is>
      </c>
      <c r="N210" s="9" t="inlineStr">
        <is>
          <t>Walk me through your decision making for Model 1.</t>
        </is>
      </c>
      <c r="O210" s="9" t="inlineStr">
        <is>
          <t>15 min</t>
        </is>
      </c>
      <c r="P210" s="9" t="inlineStr">
        <is>
          <t>Present your project's Model 1 phase.</t>
        </is>
      </c>
      <c r="Q210" s="9" t="inlineStr">
        <is>
          <t>Build/Refine code</t>
        </is>
      </c>
      <c r="R210" s="9" t="inlineStr">
        <is>
          <t>-</t>
        </is>
      </c>
      <c r="S210" s="10" t="inlineStr">
        <is>
          <t>☐ Not Started</t>
        </is>
      </c>
      <c r="T210" s="10">
        <f>IF(S210="☑ Completed", "COMPLETED", "NOT STARTED")</f>
        <v/>
      </c>
      <c r="U210" s="9" t="inlineStr">
        <is>
          <t>Review Notes for Day 42</t>
        </is>
      </c>
    </row>
    <row r="211">
      <c r="A211" s="10" t="n">
        <v>42</v>
      </c>
      <c r="B211" s="10" t="inlineStr">
        <is>
          <t>2026-10-11</t>
        </is>
      </c>
      <c r="C211" s="10" t="n">
        <v>6</v>
      </c>
      <c r="D211" s="10" t="n">
        <v>2</v>
      </c>
      <c r="E211" s="9" t="inlineStr">
        <is>
          <t>Month 1</t>
        </is>
      </c>
      <c r="F211" s="9" t="inlineStr">
        <is>
          <t>Project</t>
        </is>
      </c>
      <c r="G211" s="9" t="inlineStr">
        <is>
          <t>Churn Prediction</t>
        </is>
      </c>
      <c r="H211" s="9" t="inlineStr">
        <is>
          <t>Model 2</t>
        </is>
      </c>
      <c r="I211" s="9" t="inlineStr">
        <is>
          <t>Master Model 2</t>
        </is>
      </c>
      <c r="J211" s="9" t="inlineStr">
        <is>
          <t>30 min</t>
        </is>
      </c>
      <c r="K211" s="9" t="inlineStr">
        <is>
          <t>30 min</t>
        </is>
      </c>
      <c r="L211" s="9" t="inlineStr">
        <is>
          <t>Code/Implement Model 2</t>
        </is>
      </c>
      <c r="M211" s="9" t="inlineStr">
        <is>
          <t>15 min</t>
        </is>
      </c>
      <c r="N211" s="9" t="inlineStr">
        <is>
          <t>Walk me through your decision making for Model 2.</t>
        </is>
      </c>
      <c r="O211" s="9" t="inlineStr">
        <is>
          <t>15 min</t>
        </is>
      </c>
      <c r="P211" s="9" t="inlineStr">
        <is>
          <t>Present your project's Model 2 phase.</t>
        </is>
      </c>
      <c r="Q211" s="9" t="inlineStr">
        <is>
          <t>Build/Refine code</t>
        </is>
      </c>
      <c r="R211" s="9" t="inlineStr">
        <is>
          <t>-</t>
        </is>
      </c>
      <c r="S211" s="10" t="inlineStr">
        <is>
          <t>☐ Not Started</t>
        </is>
      </c>
      <c r="T211" s="10">
        <f>IF(S211="☑ Completed", "COMPLETED", "NOT STARTED")</f>
        <v/>
      </c>
      <c r="U211" s="9" t="inlineStr">
        <is>
          <t>Review Notes for Day 42</t>
        </is>
      </c>
    </row>
    <row r="212">
      <c r="A212" s="10" t="n">
        <v>43</v>
      </c>
      <c r="B212" s="10" t="inlineStr">
        <is>
          <t>2026-10-12</t>
        </is>
      </c>
      <c r="C212" s="10" t="n">
        <v>7</v>
      </c>
      <c r="D212" s="10" t="n">
        <v>2</v>
      </c>
      <c r="E212" s="9" t="inlineStr">
        <is>
          <t>Month 1</t>
        </is>
      </c>
      <c r="F212" s="9" t="inlineStr">
        <is>
          <t>Project</t>
        </is>
      </c>
      <c r="G212" s="9" t="inlineStr">
        <is>
          <t>Churn Prediction</t>
        </is>
      </c>
      <c r="H212" s="9" t="inlineStr">
        <is>
          <t>Model 3</t>
        </is>
      </c>
      <c r="I212" s="9" t="inlineStr">
        <is>
          <t>Master Model 3</t>
        </is>
      </c>
      <c r="J212" s="9" t="inlineStr">
        <is>
          <t>45 min</t>
        </is>
      </c>
      <c r="K212" s="9" t="inlineStr">
        <is>
          <t>45 min</t>
        </is>
      </c>
      <c r="L212" s="9" t="inlineStr">
        <is>
          <t>Code/Implement Model 3</t>
        </is>
      </c>
      <c r="M212" s="9" t="inlineStr">
        <is>
          <t>15 min</t>
        </is>
      </c>
      <c r="N212" s="9" t="inlineStr">
        <is>
          <t>Walk me through your decision making for Model 3.</t>
        </is>
      </c>
      <c r="O212" s="9" t="inlineStr">
        <is>
          <t>15 min</t>
        </is>
      </c>
      <c r="P212" s="9" t="inlineStr">
        <is>
          <t>Present your project's Model 3 phase.</t>
        </is>
      </c>
      <c r="Q212" s="9" t="inlineStr">
        <is>
          <t>Build/Refine code</t>
        </is>
      </c>
      <c r="R212" s="9" t="n">
        <v>12</v>
      </c>
      <c r="S212" s="10" t="inlineStr">
        <is>
          <t>☐ Not Started</t>
        </is>
      </c>
      <c r="T212" s="10">
        <f>IF(S212="☑ Completed", "COMPLETED", "NOT STARTED")</f>
        <v/>
      </c>
      <c r="U212" s="9" t="inlineStr">
        <is>
          <t>Review Notes for Day 43</t>
        </is>
      </c>
    </row>
    <row r="213">
      <c r="A213" s="10" t="n">
        <v>43</v>
      </c>
      <c r="B213" s="10" t="inlineStr">
        <is>
          <t>2026-10-12</t>
        </is>
      </c>
      <c r="C213" s="10" t="n">
        <v>7</v>
      </c>
      <c r="D213" s="10" t="n">
        <v>2</v>
      </c>
      <c r="E213" s="9" t="inlineStr">
        <is>
          <t>Month 1</t>
        </is>
      </c>
      <c r="F213" s="9" t="inlineStr">
        <is>
          <t>Project</t>
        </is>
      </c>
      <c r="G213" s="9" t="inlineStr">
        <is>
          <t>Churn Prediction</t>
        </is>
      </c>
      <c r="H213" s="9" t="inlineStr">
        <is>
          <t>Model comparison</t>
        </is>
      </c>
      <c r="I213" s="9" t="inlineStr">
        <is>
          <t>Master Model comparison</t>
        </is>
      </c>
      <c r="J213" s="9" t="inlineStr">
        <is>
          <t>30 min</t>
        </is>
      </c>
      <c r="K213" s="9" t="inlineStr">
        <is>
          <t>30 min</t>
        </is>
      </c>
      <c r="L213" s="9" t="inlineStr">
        <is>
          <t>Code/Implement Model comparison</t>
        </is>
      </c>
      <c r="M213" s="9" t="inlineStr">
        <is>
          <t>15 min</t>
        </is>
      </c>
      <c r="N213" s="9" t="inlineStr">
        <is>
          <t>Walk me through your decision making for Model comparison.</t>
        </is>
      </c>
      <c r="O213" s="9" t="inlineStr">
        <is>
          <t>15 min</t>
        </is>
      </c>
      <c r="P213" s="9" t="inlineStr">
        <is>
          <t>Present your project's Model comparison phase.</t>
        </is>
      </c>
      <c r="Q213" s="9" t="inlineStr">
        <is>
          <t>Build/Refine code</t>
        </is>
      </c>
      <c r="R213" s="9" t="inlineStr">
        <is>
          <t>-</t>
        </is>
      </c>
      <c r="S213" s="10" t="inlineStr">
        <is>
          <t>☐ Not Started</t>
        </is>
      </c>
      <c r="T213" s="10">
        <f>IF(S213="☑ Completed", "COMPLETED", "NOT STARTED")</f>
        <v/>
      </c>
      <c r="U213" s="9" t="inlineStr">
        <is>
          <t>Review Notes for Day 43</t>
        </is>
      </c>
    </row>
    <row r="214">
      <c r="A214" s="10" t="n">
        <v>43</v>
      </c>
      <c r="B214" s="10" t="inlineStr">
        <is>
          <t>2026-10-12</t>
        </is>
      </c>
      <c r="C214" s="10" t="n">
        <v>7</v>
      </c>
      <c r="D214" s="10" t="n">
        <v>2</v>
      </c>
      <c r="E214" s="9" t="inlineStr">
        <is>
          <t>Month 1</t>
        </is>
      </c>
      <c r="F214" s="9" t="inlineStr">
        <is>
          <t>Project</t>
        </is>
      </c>
      <c r="G214" s="9" t="inlineStr">
        <is>
          <t>Churn Prediction</t>
        </is>
      </c>
      <c r="H214" s="9" t="inlineStr">
        <is>
          <t>Evaluation</t>
        </is>
      </c>
      <c r="I214" s="9" t="inlineStr">
        <is>
          <t>Master Evaluation</t>
        </is>
      </c>
      <c r="J214" s="9" t="inlineStr">
        <is>
          <t>30 min</t>
        </is>
      </c>
      <c r="K214" s="9" t="inlineStr">
        <is>
          <t>30 min</t>
        </is>
      </c>
      <c r="L214" s="9" t="inlineStr">
        <is>
          <t>Code/Implement Evaluation</t>
        </is>
      </c>
      <c r="M214" s="9" t="inlineStr">
        <is>
          <t>15 min</t>
        </is>
      </c>
      <c r="N214" s="9" t="inlineStr">
        <is>
          <t>Walk me through your decision making for Evaluation.</t>
        </is>
      </c>
      <c r="O214" s="9" t="inlineStr">
        <is>
          <t>15 min</t>
        </is>
      </c>
      <c r="P214" s="9" t="inlineStr">
        <is>
          <t>Present your project's Evaluation phase.</t>
        </is>
      </c>
      <c r="Q214" s="9" t="inlineStr">
        <is>
          <t>Build/Refine code</t>
        </is>
      </c>
      <c r="R214" s="9" t="inlineStr">
        <is>
          <t>-</t>
        </is>
      </c>
      <c r="S214" s="10" t="inlineStr">
        <is>
          <t>☐ Not Started</t>
        </is>
      </c>
      <c r="T214" s="10">
        <f>IF(S214="☑ Completed", "COMPLETED", "NOT STARTED")</f>
        <v/>
      </c>
      <c r="U214" s="9" t="inlineStr">
        <is>
          <t>Review Notes for Day 43</t>
        </is>
      </c>
    </row>
    <row r="215">
      <c r="A215" s="10" t="n">
        <v>43</v>
      </c>
      <c r="B215" s="10" t="inlineStr">
        <is>
          <t>2026-10-12</t>
        </is>
      </c>
      <c r="C215" s="10" t="n">
        <v>7</v>
      </c>
      <c r="D215" s="10" t="n">
        <v>2</v>
      </c>
      <c r="E215" s="9" t="inlineStr">
        <is>
          <t>Month 1</t>
        </is>
      </c>
      <c r="F215" s="9" t="inlineStr">
        <is>
          <t>Project</t>
        </is>
      </c>
      <c r="G215" s="9" t="inlineStr">
        <is>
          <t>Churn Prediction</t>
        </is>
      </c>
      <c r="H215" s="9" t="inlineStr">
        <is>
          <t>Hyperparameter tuning</t>
        </is>
      </c>
      <c r="I215" s="9" t="inlineStr">
        <is>
          <t>Master Hyperparameter tuning</t>
        </is>
      </c>
      <c r="J215" s="9" t="inlineStr">
        <is>
          <t>30 min</t>
        </is>
      </c>
      <c r="K215" s="9" t="inlineStr">
        <is>
          <t>30 min</t>
        </is>
      </c>
      <c r="L215" s="9" t="inlineStr">
        <is>
          <t>Code/Implement Hyperparameter tuning</t>
        </is>
      </c>
      <c r="M215" s="9" t="inlineStr">
        <is>
          <t>15 min</t>
        </is>
      </c>
      <c r="N215" s="9" t="inlineStr">
        <is>
          <t>Walk me through your decision making for Hyperparameter tuning.</t>
        </is>
      </c>
      <c r="O215" s="9" t="inlineStr">
        <is>
          <t>15 min</t>
        </is>
      </c>
      <c r="P215" s="9" t="inlineStr">
        <is>
          <t>Present your project's Hyperparameter tuning phase.</t>
        </is>
      </c>
      <c r="Q215" s="9" t="inlineStr">
        <is>
          <t>Build/Refine code</t>
        </is>
      </c>
      <c r="R215" s="9" t="inlineStr">
        <is>
          <t>-</t>
        </is>
      </c>
      <c r="S215" s="10" t="inlineStr">
        <is>
          <t>☐ Not Started</t>
        </is>
      </c>
      <c r="T215" s="10">
        <f>IF(S215="☑ Completed", "COMPLETED", "NOT STARTED")</f>
        <v/>
      </c>
      <c r="U215" s="9" t="inlineStr">
        <is>
          <t>Review Notes for Day 43</t>
        </is>
      </c>
    </row>
    <row r="216">
      <c r="A216" s="10" t="n">
        <v>43</v>
      </c>
      <c r="B216" s="10" t="inlineStr">
        <is>
          <t>2026-10-12</t>
        </is>
      </c>
      <c r="C216" s="10" t="n">
        <v>7</v>
      </c>
      <c r="D216" s="10" t="n">
        <v>2</v>
      </c>
      <c r="E216" s="9" t="inlineStr">
        <is>
          <t>Month 1</t>
        </is>
      </c>
      <c r="F216" s="9" t="inlineStr">
        <is>
          <t>Project</t>
        </is>
      </c>
      <c r="G216" s="9" t="inlineStr">
        <is>
          <t>Churn Prediction</t>
        </is>
      </c>
      <c r="H216" s="9" t="inlineStr">
        <is>
          <t>Final model</t>
        </is>
      </c>
      <c r="I216" s="9" t="inlineStr">
        <is>
          <t>Master Final model</t>
        </is>
      </c>
      <c r="J216" s="9" t="inlineStr">
        <is>
          <t>30 min</t>
        </is>
      </c>
      <c r="K216" s="9" t="inlineStr">
        <is>
          <t>30 min</t>
        </is>
      </c>
      <c r="L216" s="9" t="inlineStr">
        <is>
          <t>Code/Implement Final model</t>
        </is>
      </c>
      <c r="M216" s="9" t="inlineStr">
        <is>
          <t>15 min</t>
        </is>
      </c>
      <c r="N216" s="9" t="inlineStr">
        <is>
          <t>Walk me through your decision making for Final model.</t>
        </is>
      </c>
      <c r="O216" s="9" t="inlineStr">
        <is>
          <t>15 min</t>
        </is>
      </c>
      <c r="P216" s="9" t="inlineStr">
        <is>
          <t>Present your project's Final model phase.</t>
        </is>
      </c>
      <c r="Q216" s="9" t="inlineStr">
        <is>
          <t>Build/Refine code</t>
        </is>
      </c>
      <c r="R216" s="9" t="inlineStr">
        <is>
          <t>-</t>
        </is>
      </c>
      <c r="S216" s="10" t="inlineStr">
        <is>
          <t>☐ Not Started</t>
        </is>
      </c>
      <c r="T216" s="10">
        <f>IF(S216="☑ Completed", "COMPLETED", "NOT STARTED")</f>
        <v/>
      </c>
      <c r="U216" s="9" t="inlineStr">
        <is>
          <t>Review Notes for Day 43</t>
        </is>
      </c>
    </row>
    <row r="217">
      <c r="A217" s="10" t="n">
        <v>44</v>
      </c>
      <c r="B217" s="10" t="inlineStr">
        <is>
          <t>2026-10-13</t>
        </is>
      </c>
      <c r="C217" s="10" t="n">
        <v>7</v>
      </c>
      <c r="D217" s="10" t="n">
        <v>2</v>
      </c>
      <c r="E217" s="9" t="inlineStr">
        <is>
          <t>Month 1</t>
        </is>
      </c>
      <c r="F217" s="9" t="inlineStr">
        <is>
          <t>Project</t>
        </is>
      </c>
      <c r="G217" s="9" t="inlineStr">
        <is>
          <t>Churn Prediction</t>
        </is>
      </c>
      <c r="H217" s="9" t="inlineStr">
        <is>
          <t>Save model</t>
        </is>
      </c>
      <c r="I217" s="9" t="inlineStr">
        <is>
          <t>Master Save model</t>
        </is>
      </c>
      <c r="J217" s="9" t="inlineStr">
        <is>
          <t>45 min</t>
        </is>
      </c>
      <c r="K217" s="9" t="inlineStr">
        <is>
          <t>45 min</t>
        </is>
      </c>
      <c r="L217" s="9" t="inlineStr">
        <is>
          <t>Code/Implement Save model</t>
        </is>
      </c>
      <c r="M217" s="9" t="inlineStr">
        <is>
          <t>15 min</t>
        </is>
      </c>
      <c r="N217" s="9" t="inlineStr">
        <is>
          <t>Walk me through your decision making for Save model.</t>
        </is>
      </c>
      <c r="O217" s="9" t="inlineStr">
        <is>
          <t>15 min</t>
        </is>
      </c>
      <c r="P217" s="9" t="inlineStr">
        <is>
          <t>Present your project's Save model phase.</t>
        </is>
      </c>
      <c r="Q217" s="9" t="inlineStr">
        <is>
          <t>Build/Refine code</t>
        </is>
      </c>
      <c r="R217" s="9" t="n">
        <v>12</v>
      </c>
      <c r="S217" s="10" t="inlineStr">
        <is>
          <t>☐ Not Started</t>
        </is>
      </c>
      <c r="T217" s="10">
        <f>IF(S217="☑ Completed", "COMPLETED", "NOT STARTED")</f>
        <v/>
      </c>
      <c r="U217" s="9" t="inlineStr">
        <is>
          <t>Review Notes for Day 44</t>
        </is>
      </c>
    </row>
    <row r="218">
      <c r="A218" s="10" t="n">
        <v>44</v>
      </c>
      <c r="B218" s="10" t="inlineStr">
        <is>
          <t>2026-10-13</t>
        </is>
      </c>
      <c r="C218" s="10" t="n">
        <v>7</v>
      </c>
      <c r="D218" s="10" t="n">
        <v>2</v>
      </c>
      <c r="E218" s="9" t="inlineStr">
        <is>
          <t>Month 1</t>
        </is>
      </c>
      <c r="F218" s="9" t="inlineStr">
        <is>
          <t>Project</t>
        </is>
      </c>
      <c r="G218" s="9" t="inlineStr">
        <is>
          <t>Churn Prediction</t>
        </is>
      </c>
      <c r="H218" s="9" t="inlineStr">
        <is>
          <t>Streamlit UI</t>
        </is>
      </c>
      <c r="I218" s="9" t="inlineStr">
        <is>
          <t>Master Streamlit UI</t>
        </is>
      </c>
      <c r="J218" s="9" t="inlineStr">
        <is>
          <t>30 min</t>
        </is>
      </c>
      <c r="K218" s="9" t="inlineStr">
        <is>
          <t>30 min</t>
        </is>
      </c>
      <c r="L218" s="9" t="inlineStr">
        <is>
          <t>Code/Implement Streamlit UI</t>
        </is>
      </c>
      <c r="M218" s="9" t="inlineStr">
        <is>
          <t>15 min</t>
        </is>
      </c>
      <c r="N218" s="9" t="inlineStr">
        <is>
          <t>Walk me through your decision making for Streamlit UI.</t>
        </is>
      </c>
      <c r="O218" s="9" t="inlineStr">
        <is>
          <t>15 min</t>
        </is>
      </c>
      <c r="P218" s="9" t="inlineStr">
        <is>
          <t>Present your project's Streamlit UI phase.</t>
        </is>
      </c>
      <c r="Q218" s="9" t="inlineStr">
        <is>
          <t>Build/Refine code</t>
        </is>
      </c>
      <c r="R218" s="9" t="inlineStr">
        <is>
          <t>-</t>
        </is>
      </c>
      <c r="S218" s="10" t="inlineStr">
        <is>
          <t>☐ Not Started</t>
        </is>
      </c>
      <c r="T218" s="10">
        <f>IF(S218="☑ Completed", "COMPLETED", "NOT STARTED")</f>
        <v/>
      </c>
      <c r="U218" s="9" t="inlineStr">
        <is>
          <t>Review Notes for Day 44</t>
        </is>
      </c>
    </row>
    <row r="219">
      <c r="A219" s="10" t="n">
        <v>44</v>
      </c>
      <c r="B219" s="10" t="inlineStr">
        <is>
          <t>2026-10-13</t>
        </is>
      </c>
      <c r="C219" s="10" t="n">
        <v>7</v>
      </c>
      <c r="D219" s="10" t="n">
        <v>2</v>
      </c>
      <c r="E219" s="9" t="inlineStr">
        <is>
          <t>Month 1</t>
        </is>
      </c>
      <c r="F219" s="9" t="inlineStr">
        <is>
          <t>Project</t>
        </is>
      </c>
      <c r="G219" s="9" t="inlineStr">
        <is>
          <t>Churn Prediction</t>
        </is>
      </c>
      <c r="H219" s="9" t="inlineStr">
        <is>
          <t>Testing</t>
        </is>
      </c>
      <c r="I219" s="9" t="inlineStr">
        <is>
          <t>Master Testing</t>
        </is>
      </c>
      <c r="J219" s="9" t="inlineStr">
        <is>
          <t>30 min</t>
        </is>
      </c>
      <c r="K219" s="9" t="inlineStr">
        <is>
          <t>30 min</t>
        </is>
      </c>
      <c r="L219" s="9" t="inlineStr">
        <is>
          <t>Code/Implement Testing</t>
        </is>
      </c>
      <c r="M219" s="9" t="inlineStr">
        <is>
          <t>15 min</t>
        </is>
      </c>
      <c r="N219" s="9" t="inlineStr">
        <is>
          <t>Walk me through your decision making for Testing.</t>
        </is>
      </c>
      <c r="O219" s="9" t="inlineStr">
        <is>
          <t>15 min</t>
        </is>
      </c>
      <c r="P219" s="9" t="inlineStr">
        <is>
          <t>Present your project's Testing phase.</t>
        </is>
      </c>
      <c r="Q219" s="9" t="inlineStr">
        <is>
          <t>Build/Refine code</t>
        </is>
      </c>
      <c r="R219" s="9" t="inlineStr">
        <is>
          <t>-</t>
        </is>
      </c>
      <c r="S219" s="10" t="inlineStr">
        <is>
          <t>☐ Not Started</t>
        </is>
      </c>
      <c r="T219" s="10">
        <f>IF(S219="☑ Completed", "COMPLETED", "NOT STARTED")</f>
        <v/>
      </c>
      <c r="U219" s="9" t="inlineStr">
        <is>
          <t>Review Notes for Day 44</t>
        </is>
      </c>
    </row>
    <row r="220">
      <c r="A220" s="10" t="n">
        <v>44</v>
      </c>
      <c r="B220" s="10" t="inlineStr">
        <is>
          <t>2026-10-13</t>
        </is>
      </c>
      <c r="C220" s="10" t="n">
        <v>7</v>
      </c>
      <c r="D220" s="10" t="n">
        <v>2</v>
      </c>
      <c r="E220" s="9" t="inlineStr">
        <is>
          <t>Month 1</t>
        </is>
      </c>
      <c r="F220" s="9" t="inlineStr">
        <is>
          <t>Project</t>
        </is>
      </c>
      <c r="G220" s="9" t="inlineStr">
        <is>
          <t>Churn Prediction</t>
        </is>
      </c>
      <c r="H220" s="9" t="inlineStr">
        <is>
          <t>Error handling</t>
        </is>
      </c>
      <c r="I220" s="9" t="inlineStr">
        <is>
          <t>Master Error handling</t>
        </is>
      </c>
      <c r="J220" s="9" t="inlineStr">
        <is>
          <t>30 min</t>
        </is>
      </c>
      <c r="K220" s="9" t="inlineStr">
        <is>
          <t>30 min</t>
        </is>
      </c>
      <c r="L220" s="9" t="inlineStr">
        <is>
          <t>Code/Implement Error handling</t>
        </is>
      </c>
      <c r="M220" s="9" t="inlineStr">
        <is>
          <t>15 min</t>
        </is>
      </c>
      <c r="N220" s="9" t="inlineStr">
        <is>
          <t>Walk me through your decision making for Error handling.</t>
        </is>
      </c>
      <c r="O220" s="9" t="inlineStr">
        <is>
          <t>15 min</t>
        </is>
      </c>
      <c r="P220" s="9" t="inlineStr">
        <is>
          <t>Present your project's Error handling phase.</t>
        </is>
      </c>
      <c r="Q220" s="9" t="inlineStr">
        <is>
          <t>Build/Refine code</t>
        </is>
      </c>
      <c r="R220" s="9" t="inlineStr">
        <is>
          <t>-</t>
        </is>
      </c>
      <c r="S220" s="10" t="inlineStr">
        <is>
          <t>☐ Not Started</t>
        </is>
      </c>
      <c r="T220" s="10">
        <f>IF(S220="☑ Completed", "COMPLETED", "NOT STARTED")</f>
        <v/>
      </c>
      <c r="U220" s="9" t="inlineStr">
        <is>
          <t>Review Notes for Day 44</t>
        </is>
      </c>
    </row>
    <row r="221">
      <c r="A221" s="10" t="n">
        <v>44</v>
      </c>
      <c r="B221" s="10" t="inlineStr">
        <is>
          <t>2026-10-13</t>
        </is>
      </c>
      <c r="C221" s="10" t="n">
        <v>7</v>
      </c>
      <c r="D221" s="10" t="n">
        <v>2</v>
      </c>
      <c r="E221" s="9" t="inlineStr">
        <is>
          <t>Month 1</t>
        </is>
      </c>
      <c r="F221" s="9" t="inlineStr">
        <is>
          <t>Project</t>
        </is>
      </c>
      <c r="G221" s="9" t="inlineStr">
        <is>
          <t>Churn Prediction</t>
        </is>
      </c>
      <c r="H221" s="9" t="inlineStr">
        <is>
          <t>GitHub</t>
        </is>
      </c>
      <c r="I221" s="9" t="inlineStr">
        <is>
          <t>Master GitHub</t>
        </is>
      </c>
      <c r="J221" s="9" t="inlineStr">
        <is>
          <t>30 min</t>
        </is>
      </c>
      <c r="K221" s="9" t="inlineStr">
        <is>
          <t>30 min</t>
        </is>
      </c>
      <c r="L221" s="9" t="inlineStr">
        <is>
          <t>Code/Implement GitHub</t>
        </is>
      </c>
      <c r="M221" s="9" t="inlineStr">
        <is>
          <t>15 min</t>
        </is>
      </c>
      <c r="N221" s="9" t="inlineStr">
        <is>
          <t>Walk me through your decision making for GitHub.</t>
        </is>
      </c>
      <c r="O221" s="9" t="inlineStr">
        <is>
          <t>15 min</t>
        </is>
      </c>
      <c r="P221" s="9" t="inlineStr">
        <is>
          <t>Present your project's GitHub phase.</t>
        </is>
      </c>
      <c r="Q221" s="9" t="inlineStr">
        <is>
          <t>Build/Refine code</t>
        </is>
      </c>
      <c r="R221" s="9" t="inlineStr">
        <is>
          <t>-</t>
        </is>
      </c>
      <c r="S221" s="10" t="inlineStr">
        <is>
          <t>☐ Not Started</t>
        </is>
      </c>
      <c r="T221" s="10">
        <f>IF(S221="☑ Completed", "COMPLETED", "NOT STARTED")</f>
        <v/>
      </c>
      <c r="U221" s="9" t="inlineStr">
        <is>
          <t>Review Notes for Day 44</t>
        </is>
      </c>
    </row>
    <row r="222">
      <c r="A222" s="10" t="n">
        <v>45</v>
      </c>
      <c r="B222" s="10" t="inlineStr">
        <is>
          <t>2026-10-14</t>
        </is>
      </c>
      <c r="C222" s="10" t="n">
        <v>7</v>
      </c>
      <c r="D222" s="10" t="n">
        <v>2</v>
      </c>
      <c r="E222" s="9" t="inlineStr">
        <is>
          <t>Month 1</t>
        </is>
      </c>
      <c r="F222" s="9" t="inlineStr">
        <is>
          <t>Project</t>
        </is>
      </c>
      <c r="G222" s="9" t="inlineStr">
        <is>
          <t>Churn Prediction</t>
        </is>
      </c>
      <c r="H222" s="9" t="inlineStr">
        <is>
          <t>README</t>
        </is>
      </c>
      <c r="I222" s="9" t="inlineStr">
        <is>
          <t>Master README</t>
        </is>
      </c>
      <c r="J222" s="9" t="inlineStr">
        <is>
          <t>45 min</t>
        </is>
      </c>
      <c r="K222" s="9" t="inlineStr">
        <is>
          <t>45 min</t>
        </is>
      </c>
      <c r="L222" s="9" t="inlineStr">
        <is>
          <t>Code/Implement README</t>
        </is>
      </c>
      <c r="M222" s="9" t="inlineStr">
        <is>
          <t>15 min</t>
        </is>
      </c>
      <c r="N222" s="9" t="inlineStr">
        <is>
          <t>Walk me through your decision making for README.</t>
        </is>
      </c>
      <c r="O222" s="9" t="inlineStr">
        <is>
          <t>15 min</t>
        </is>
      </c>
      <c r="P222" s="9" t="inlineStr">
        <is>
          <t>Present your project's README phase.</t>
        </is>
      </c>
      <c r="Q222" s="9" t="inlineStr">
        <is>
          <t>Build/Refine code</t>
        </is>
      </c>
      <c r="R222" s="9" t="n">
        <v>12</v>
      </c>
      <c r="S222" s="10" t="inlineStr">
        <is>
          <t>☐ Not Started</t>
        </is>
      </c>
      <c r="T222" s="10">
        <f>IF(S222="☑ Completed", "COMPLETED", "NOT STARTED")</f>
        <v/>
      </c>
      <c r="U222" s="9" t="inlineStr">
        <is>
          <t>Review Notes for Day 45</t>
        </is>
      </c>
    </row>
    <row r="223">
      <c r="A223" s="10" t="n">
        <v>45</v>
      </c>
      <c r="B223" s="10" t="inlineStr">
        <is>
          <t>2026-10-14</t>
        </is>
      </c>
      <c r="C223" s="10" t="n">
        <v>7</v>
      </c>
      <c r="D223" s="10" t="n">
        <v>2</v>
      </c>
      <c r="E223" s="9" t="inlineStr">
        <is>
          <t>Month 1</t>
        </is>
      </c>
      <c r="F223" s="9" t="inlineStr">
        <is>
          <t>Project</t>
        </is>
      </c>
      <c r="G223" s="9" t="inlineStr">
        <is>
          <t>Churn Prediction</t>
        </is>
      </c>
      <c r="H223" s="9" t="inlineStr">
        <is>
          <t>Project explanation</t>
        </is>
      </c>
      <c r="I223" s="9" t="inlineStr">
        <is>
          <t>Master Project explanation</t>
        </is>
      </c>
      <c r="J223" s="9" t="inlineStr">
        <is>
          <t>30 min</t>
        </is>
      </c>
      <c r="K223" s="9" t="inlineStr">
        <is>
          <t>30 min</t>
        </is>
      </c>
      <c r="L223" s="9" t="inlineStr">
        <is>
          <t>Code/Implement Project explanation</t>
        </is>
      </c>
      <c r="M223" s="9" t="inlineStr">
        <is>
          <t>15 min</t>
        </is>
      </c>
      <c r="N223" s="9" t="inlineStr">
        <is>
          <t>Walk me through your decision making for Project explanation.</t>
        </is>
      </c>
      <c r="O223" s="9" t="inlineStr">
        <is>
          <t>15 min</t>
        </is>
      </c>
      <c r="P223" s="9" t="inlineStr">
        <is>
          <t>Present your project's Project explanation phase.</t>
        </is>
      </c>
      <c r="Q223" s="9" t="inlineStr">
        <is>
          <t>Build/Refine code</t>
        </is>
      </c>
      <c r="R223" s="9" t="inlineStr">
        <is>
          <t>-</t>
        </is>
      </c>
      <c r="S223" s="10" t="inlineStr">
        <is>
          <t>☐ Not Started</t>
        </is>
      </c>
      <c r="T223" s="10">
        <f>IF(S223="☑ Completed", "COMPLETED", "NOT STARTED")</f>
        <v/>
      </c>
      <c r="U223" s="9" t="inlineStr">
        <is>
          <t>Review Notes for Day 45</t>
        </is>
      </c>
    </row>
    <row r="224">
      <c r="A224" s="10" t="n">
        <v>45</v>
      </c>
      <c r="B224" s="10" t="inlineStr">
        <is>
          <t>2026-10-14</t>
        </is>
      </c>
      <c r="C224" s="10" t="n">
        <v>7</v>
      </c>
      <c r="D224" s="10" t="n">
        <v>2</v>
      </c>
      <c r="E224" s="9" t="inlineStr">
        <is>
          <t>Month 1</t>
        </is>
      </c>
      <c r="F224" s="9" t="inlineStr">
        <is>
          <t>Project</t>
        </is>
      </c>
      <c r="G224" s="9" t="inlineStr">
        <is>
          <t>Churn Prediction</t>
        </is>
      </c>
      <c r="H224" s="9" t="inlineStr">
        <is>
          <t>Interview preparation</t>
        </is>
      </c>
      <c r="I224" s="9" t="inlineStr">
        <is>
          <t>Master Interview preparation</t>
        </is>
      </c>
      <c r="J224" s="9" t="inlineStr">
        <is>
          <t>30 min</t>
        </is>
      </c>
      <c r="K224" s="9" t="inlineStr">
        <is>
          <t>30 min</t>
        </is>
      </c>
      <c r="L224" s="9" t="inlineStr">
        <is>
          <t>Code/Implement Interview preparation</t>
        </is>
      </c>
      <c r="M224" s="9" t="inlineStr">
        <is>
          <t>15 min</t>
        </is>
      </c>
      <c r="N224" s="9" t="inlineStr">
        <is>
          <t>Walk me through your decision making for Interview preparation.</t>
        </is>
      </c>
      <c r="O224" s="9" t="inlineStr">
        <is>
          <t>15 min</t>
        </is>
      </c>
      <c r="P224" s="9" t="inlineStr">
        <is>
          <t>Present your project's Interview preparation phase.</t>
        </is>
      </c>
      <c r="Q224" s="9" t="inlineStr">
        <is>
          <t>Build/Refine code</t>
        </is>
      </c>
      <c r="R224" s="9" t="inlineStr">
        <is>
          <t>-</t>
        </is>
      </c>
      <c r="S224" s="10" t="inlineStr">
        <is>
          <t>☐ Not Started</t>
        </is>
      </c>
      <c r="T224" s="10">
        <f>IF(S224="☑ Completed", "COMPLETED", "NOT STARTED")</f>
        <v/>
      </c>
      <c r="U224" s="9" t="inlineStr">
        <is>
          <t>Review Notes for Day 45</t>
        </is>
      </c>
    </row>
    <row r="225">
      <c r="A225" s="10" t="n">
        <v>45</v>
      </c>
      <c r="B225" s="10" t="inlineStr">
        <is>
          <t>2026-10-14</t>
        </is>
      </c>
      <c r="C225" s="10" t="n">
        <v>7</v>
      </c>
      <c r="D225" s="10" t="n">
        <v>2</v>
      </c>
      <c r="E225" s="9" t="inlineStr">
        <is>
          <t>Month 2</t>
        </is>
      </c>
      <c r="F225" s="9" t="inlineStr">
        <is>
          <t>Deep Learning</t>
        </is>
      </c>
      <c r="G225" s="9" t="inlineStr">
        <is>
          <t>Basics</t>
        </is>
      </c>
      <c r="H225" s="9" t="inlineStr">
        <is>
          <t>What is neural network</t>
        </is>
      </c>
      <c r="I225" s="9" t="inlineStr">
        <is>
          <t>Master What is neural network</t>
        </is>
      </c>
      <c r="J225" s="9" t="inlineStr">
        <is>
          <t>30 min</t>
        </is>
      </c>
      <c r="K225" s="9" t="inlineStr">
        <is>
          <t>30 min</t>
        </is>
      </c>
      <c r="L225" s="9" t="inlineStr">
        <is>
          <t>Code/Implement What is neural network</t>
        </is>
      </c>
      <c r="M225" s="9" t="inlineStr">
        <is>
          <t>15 min</t>
        </is>
      </c>
      <c r="N225" s="9" t="inlineStr">
        <is>
          <t>How does What is neural network help the network learn?</t>
        </is>
      </c>
      <c r="O225" s="9" t="inlineStr">
        <is>
          <t>15 min</t>
        </is>
      </c>
      <c r="P225" s="9" t="inlineStr">
        <is>
          <t>Explain the concept of What is neural network in a neural network.</t>
        </is>
      </c>
      <c r="Q225" s="9" t="inlineStr">
        <is>
          <t>Build/Refine code</t>
        </is>
      </c>
      <c r="R225" s="9" t="inlineStr">
        <is>
          <t>-</t>
        </is>
      </c>
      <c r="S225" s="10" t="inlineStr">
        <is>
          <t>☐ Not Started</t>
        </is>
      </c>
      <c r="T225" s="10">
        <f>IF(S225="☑ Completed", "COMPLETED", "NOT STARTED")</f>
        <v/>
      </c>
      <c r="U225" s="9" t="inlineStr">
        <is>
          <t>Review Notes for Day 45</t>
        </is>
      </c>
    </row>
    <row r="226">
      <c r="A226" s="10" t="n">
        <v>45</v>
      </c>
      <c r="B226" s="10" t="inlineStr">
        <is>
          <t>2026-10-14</t>
        </is>
      </c>
      <c r="C226" s="10" t="n">
        <v>7</v>
      </c>
      <c r="D226" s="10" t="n">
        <v>2</v>
      </c>
      <c r="E226" s="9" t="inlineStr">
        <is>
          <t>Month 2</t>
        </is>
      </c>
      <c r="F226" s="9" t="inlineStr">
        <is>
          <t>Deep Learning</t>
        </is>
      </c>
      <c r="G226" s="9" t="inlineStr">
        <is>
          <t>Basics</t>
        </is>
      </c>
      <c r="H226" s="9" t="inlineStr">
        <is>
          <t>Neuron</t>
        </is>
      </c>
      <c r="I226" s="9" t="inlineStr">
        <is>
          <t>Master Neuron</t>
        </is>
      </c>
      <c r="J226" s="9" t="inlineStr">
        <is>
          <t>30 min</t>
        </is>
      </c>
      <c r="K226" s="9" t="inlineStr">
        <is>
          <t>30 min</t>
        </is>
      </c>
      <c r="L226" s="9" t="inlineStr">
        <is>
          <t>Code/Implement Neuron</t>
        </is>
      </c>
      <c r="M226" s="9" t="inlineStr">
        <is>
          <t>15 min</t>
        </is>
      </c>
      <c r="N226" s="9" t="inlineStr">
        <is>
          <t>How does Neuron help the network learn?</t>
        </is>
      </c>
      <c r="O226" s="9" t="inlineStr">
        <is>
          <t>15 min</t>
        </is>
      </c>
      <c r="P226" s="9" t="inlineStr">
        <is>
          <t>Explain the concept of Neuron in a neural network.</t>
        </is>
      </c>
      <c r="Q226" s="9" t="inlineStr">
        <is>
          <t>Build/Refine code</t>
        </is>
      </c>
      <c r="R226" s="9" t="inlineStr">
        <is>
          <t>-</t>
        </is>
      </c>
      <c r="S226" s="10" t="inlineStr">
        <is>
          <t>☐ Not Started</t>
        </is>
      </c>
      <c r="T226" s="10">
        <f>IF(S226="☑ Completed", "COMPLETED", "NOT STARTED")</f>
        <v/>
      </c>
      <c r="U226" s="9" t="inlineStr">
        <is>
          <t>Review Notes for Day 45</t>
        </is>
      </c>
    </row>
    <row r="227">
      <c r="A227" s="10" t="n">
        <v>46</v>
      </c>
      <c r="B227" s="10" t="inlineStr">
        <is>
          <t>2026-10-15</t>
        </is>
      </c>
      <c r="C227" s="10" t="n">
        <v>7</v>
      </c>
      <c r="D227" s="10" t="n">
        <v>2</v>
      </c>
      <c r="E227" s="9" t="inlineStr">
        <is>
          <t>Month 2</t>
        </is>
      </c>
      <c r="F227" s="9" t="inlineStr">
        <is>
          <t>Deep Learning</t>
        </is>
      </c>
      <c r="G227" s="9" t="inlineStr">
        <is>
          <t>Basics</t>
        </is>
      </c>
      <c r="H227" s="9" t="inlineStr">
        <is>
          <t>Weights</t>
        </is>
      </c>
      <c r="I227" s="9" t="inlineStr">
        <is>
          <t>Master Weights</t>
        </is>
      </c>
      <c r="J227" s="9" t="inlineStr">
        <is>
          <t>45 min</t>
        </is>
      </c>
      <c r="K227" s="9" t="inlineStr">
        <is>
          <t>45 min</t>
        </is>
      </c>
      <c r="L227" s="9" t="inlineStr">
        <is>
          <t>Code/Implement Weights</t>
        </is>
      </c>
      <c r="M227" s="9" t="inlineStr">
        <is>
          <t>15 min</t>
        </is>
      </c>
      <c r="N227" s="9" t="inlineStr">
        <is>
          <t>How does Weights help the network learn?</t>
        </is>
      </c>
      <c r="O227" s="9" t="inlineStr">
        <is>
          <t>15 min</t>
        </is>
      </c>
      <c r="P227" s="9" t="inlineStr">
        <is>
          <t>Explain the concept of Weights in a neural network.</t>
        </is>
      </c>
      <c r="Q227" s="9" t="inlineStr">
        <is>
          <t>Build/Refine code</t>
        </is>
      </c>
      <c r="R227" s="9" t="n">
        <v>12</v>
      </c>
      <c r="S227" s="10" t="inlineStr">
        <is>
          <t>☐ Not Started</t>
        </is>
      </c>
      <c r="T227" s="10">
        <f>IF(S227="☑ Completed", "COMPLETED", "NOT STARTED")</f>
        <v/>
      </c>
      <c r="U227" s="9" t="inlineStr">
        <is>
          <t>Review Notes for Day 46</t>
        </is>
      </c>
    </row>
    <row r="228">
      <c r="A228" s="10" t="n">
        <v>46</v>
      </c>
      <c r="B228" s="10" t="inlineStr">
        <is>
          <t>2026-10-15</t>
        </is>
      </c>
      <c r="C228" s="10" t="n">
        <v>7</v>
      </c>
      <c r="D228" s="10" t="n">
        <v>2</v>
      </c>
      <c r="E228" s="9" t="inlineStr">
        <is>
          <t>Month 2</t>
        </is>
      </c>
      <c r="F228" s="9" t="inlineStr">
        <is>
          <t>Deep Learning</t>
        </is>
      </c>
      <c r="G228" s="9" t="inlineStr">
        <is>
          <t>Basics</t>
        </is>
      </c>
      <c r="H228" s="9" t="inlineStr">
        <is>
          <t>Bias</t>
        </is>
      </c>
      <c r="I228" s="9" t="inlineStr">
        <is>
          <t>Master Bias</t>
        </is>
      </c>
      <c r="J228" s="9" t="inlineStr">
        <is>
          <t>30 min</t>
        </is>
      </c>
      <c r="K228" s="9" t="inlineStr">
        <is>
          <t>30 min</t>
        </is>
      </c>
      <c r="L228" s="9" t="inlineStr">
        <is>
          <t>Code/Implement Bias</t>
        </is>
      </c>
      <c r="M228" s="9" t="inlineStr">
        <is>
          <t>15 min</t>
        </is>
      </c>
      <c r="N228" s="9" t="inlineStr">
        <is>
          <t>How does Bias help the network learn?</t>
        </is>
      </c>
      <c r="O228" s="9" t="inlineStr">
        <is>
          <t>15 min</t>
        </is>
      </c>
      <c r="P228" s="9" t="inlineStr">
        <is>
          <t>Explain the concept of Bias in a neural network.</t>
        </is>
      </c>
      <c r="Q228" s="9" t="inlineStr">
        <is>
          <t>Build/Refine code</t>
        </is>
      </c>
      <c r="R228" s="9" t="inlineStr">
        <is>
          <t>-</t>
        </is>
      </c>
      <c r="S228" s="10" t="inlineStr">
        <is>
          <t>☐ Not Started</t>
        </is>
      </c>
      <c r="T228" s="10">
        <f>IF(S228="☑ Completed", "COMPLETED", "NOT STARTED")</f>
        <v/>
      </c>
      <c r="U228" s="9" t="inlineStr">
        <is>
          <t>Review Notes for Day 46</t>
        </is>
      </c>
    </row>
    <row r="229">
      <c r="A229" s="10" t="n">
        <v>46</v>
      </c>
      <c r="B229" s="10" t="inlineStr">
        <is>
          <t>2026-10-15</t>
        </is>
      </c>
      <c r="C229" s="10" t="n">
        <v>7</v>
      </c>
      <c r="D229" s="10" t="n">
        <v>2</v>
      </c>
      <c r="E229" s="9" t="inlineStr">
        <is>
          <t>Month 2</t>
        </is>
      </c>
      <c r="F229" s="9" t="inlineStr">
        <is>
          <t>Deep Learning</t>
        </is>
      </c>
      <c r="G229" s="9" t="inlineStr">
        <is>
          <t>Basics</t>
        </is>
      </c>
      <c r="H229" s="9" t="inlineStr">
        <is>
          <t>Activation functions</t>
        </is>
      </c>
      <c r="I229" s="9" t="inlineStr">
        <is>
          <t>Master Activation functions</t>
        </is>
      </c>
      <c r="J229" s="9" t="inlineStr">
        <is>
          <t>30 min</t>
        </is>
      </c>
      <c r="K229" s="9" t="inlineStr">
        <is>
          <t>30 min</t>
        </is>
      </c>
      <c r="L229" s="9" t="inlineStr">
        <is>
          <t>Code/Implement Activation functions</t>
        </is>
      </c>
      <c r="M229" s="9" t="inlineStr">
        <is>
          <t>15 min</t>
        </is>
      </c>
      <c r="N229" s="9" t="inlineStr">
        <is>
          <t>How does Activation functions help the network learn?</t>
        </is>
      </c>
      <c r="O229" s="9" t="inlineStr">
        <is>
          <t>15 min</t>
        </is>
      </c>
      <c r="P229" s="9" t="inlineStr">
        <is>
          <t>Explain the concept of Activation functions in a neural network.</t>
        </is>
      </c>
      <c r="Q229" s="9" t="inlineStr">
        <is>
          <t>Build/Refine code</t>
        </is>
      </c>
      <c r="R229" s="9" t="inlineStr">
        <is>
          <t>-</t>
        </is>
      </c>
      <c r="S229" s="10" t="inlineStr">
        <is>
          <t>☐ Not Started</t>
        </is>
      </c>
      <c r="T229" s="10">
        <f>IF(S229="☑ Completed", "COMPLETED", "NOT STARTED")</f>
        <v/>
      </c>
      <c r="U229" s="9" t="inlineStr">
        <is>
          <t>Review Notes for Day 46</t>
        </is>
      </c>
    </row>
    <row r="230">
      <c r="A230" s="10" t="n">
        <v>46</v>
      </c>
      <c r="B230" s="10" t="inlineStr">
        <is>
          <t>2026-10-15</t>
        </is>
      </c>
      <c r="C230" s="10" t="n">
        <v>7</v>
      </c>
      <c r="D230" s="10" t="n">
        <v>2</v>
      </c>
      <c r="E230" s="9" t="inlineStr">
        <is>
          <t>Month 2</t>
        </is>
      </c>
      <c r="F230" s="9" t="inlineStr">
        <is>
          <t>Deep Learning</t>
        </is>
      </c>
      <c r="G230" s="9" t="inlineStr">
        <is>
          <t>Basics</t>
        </is>
      </c>
      <c r="H230" s="9" t="inlineStr">
        <is>
          <t>Sigmoid</t>
        </is>
      </c>
      <c r="I230" s="9" t="inlineStr">
        <is>
          <t>Master Sigmoid</t>
        </is>
      </c>
      <c r="J230" s="9" t="inlineStr">
        <is>
          <t>30 min</t>
        </is>
      </c>
      <c r="K230" s="9" t="inlineStr">
        <is>
          <t>30 min</t>
        </is>
      </c>
      <c r="L230" s="9" t="inlineStr">
        <is>
          <t>Code/Implement Sigmoid</t>
        </is>
      </c>
      <c r="M230" s="9" t="inlineStr">
        <is>
          <t>15 min</t>
        </is>
      </c>
      <c r="N230" s="9" t="inlineStr">
        <is>
          <t>How does Sigmoid help the network learn?</t>
        </is>
      </c>
      <c r="O230" s="9" t="inlineStr">
        <is>
          <t>15 min</t>
        </is>
      </c>
      <c r="P230" s="9" t="inlineStr">
        <is>
          <t>Explain the concept of Sigmoid in a neural network.</t>
        </is>
      </c>
      <c r="Q230" s="9" t="inlineStr">
        <is>
          <t>Build/Refine code</t>
        </is>
      </c>
      <c r="R230" s="9" t="inlineStr">
        <is>
          <t>-</t>
        </is>
      </c>
      <c r="S230" s="10" t="inlineStr">
        <is>
          <t>☐ Not Started</t>
        </is>
      </c>
      <c r="T230" s="10">
        <f>IF(S230="☑ Completed", "COMPLETED", "NOT STARTED")</f>
        <v/>
      </c>
      <c r="U230" s="9" t="inlineStr">
        <is>
          <t>Review Notes for Day 46</t>
        </is>
      </c>
    </row>
    <row r="231">
      <c r="A231" s="10" t="n">
        <v>46</v>
      </c>
      <c r="B231" s="10" t="inlineStr">
        <is>
          <t>2026-10-15</t>
        </is>
      </c>
      <c r="C231" s="10" t="n">
        <v>7</v>
      </c>
      <c r="D231" s="10" t="n">
        <v>2</v>
      </c>
      <c r="E231" s="9" t="inlineStr">
        <is>
          <t>Month 2</t>
        </is>
      </c>
      <c r="F231" s="9" t="inlineStr">
        <is>
          <t>Deep Learning</t>
        </is>
      </c>
      <c r="G231" s="9" t="inlineStr">
        <is>
          <t>Basics</t>
        </is>
      </c>
      <c r="H231" s="9" t="inlineStr">
        <is>
          <t>ReLU</t>
        </is>
      </c>
      <c r="I231" s="9" t="inlineStr">
        <is>
          <t>Master ReLU</t>
        </is>
      </c>
      <c r="J231" s="9" t="inlineStr">
        <is>
          <t>30 min</t>
        </is>
      </c>
      <c r="K231" s="9" t="inlineStr">
        <is>
          <t>30 min</t>
        </is>
      </c>
      <c r="L231" s="9" t="inlineStr">
        <is>
          <t>Code/Implement ReLU</t>
        </is>
      </c>
      <c r="M231" s="9" t="inlineStr">
        <is>
          <t>15 min</t>
        </is>
      </c>
      <c r="N231" s="9" t="inlineStr">
        <is>
          <t>How does ReLU help the network learn?</t>
        </is>
      </c>
      <c r="O231" s="9" t="inlineStr">
        <is>
          <t>15 min</t>
        </is>
      </c>
      <c r="P231" s="9" t="inlineStr">
        <is>
          <t>Explain the concept of ReLU in a neural network.</t>
        </is>
      </c>
      <c r="Q231" s="9" t="inlineStr">
        <is>
          <t>Build/Refine code</t>
        </is>
      </c>
      <c r="R231" s="9" t="inlineStr">
        <is>
          <t>-</t>
        </is>
      </c>
      <c r="S231" s="10" t="inlineStr">
        <is>
          <t>☐ Not Started</t>
        </is>
      </c>
      <c r="T231" s="10">
        <f>IF(S231="☑ Completed", "COMPLETED", "NOT STARTED")</f>
        <v/>
      </c>
      <c r="U231" s="9" t="inlineStr">
        <is>
          <t>Review Notes for Day 46</t>
        </is>
      </c>
    </row>
    <row r="232">
      <c r="A232" s="10" t="n">
        <v>47</v>
      </c>
      <c r="B232" s="10" t="inlineStr">
        <is>
          <t>2026-10-16</t>
        </is>
      </c>
      <c r="C232" s="10" t="n">
        <v>7</v>
      </c>
      <c r="D232" s="10" t="n">
        <v>2</v>
      </c>
      <c r="E232" s="9" t="inlineStr">
        <is>
          <t>Month 2</t>
        </is>
      </c>
      <c r="F232" s="9" t="inlineStr">
        <is>
          <t>Deep Learning</t>
        </is>
      </c>
      <c r="G232" s="9" t="inlineStr">
        <is>
          <t>Basics</t>
        </is>
      </c>
      <c r="H232" s="9" t="inlineStr">
        <is>
          <t>Tanh</t>
        </is>
      </c>
      <c r="I232" s="9" t="inlineStr">
        <is>
          <t>Master Tanh</t>
        </is>
      </c>
      <c r="J232" s="9" t="inlineStr">
        <is>
          <t>45 min</t>
        </is>
      </c>
      <c r="K232" s="9" t="inlineStr">
        <is>
          <t>45 min</t>
        </is>
      </c>
      <c r="L232" s="9" t="inlineStr">
        <is>
          <t>Code/Implement Tanh</t>
        </is>
      </c>
      <c r="M232" s="9" t="inlineStr">
        <is>
          <t>15 min</t>
        </is>
      </c>
      <c r="N232" s="9" t="inlineStr">
        <is>
          <t>How does Tanh help the network learn?</t>
        </is>
      </c>
      <c r="O232" s="9" t="inlineStr">
        <is>
          <t>15 min</t>
        </is>
      </c>
      <c r="P232" s="9" t="inlineStr">
        <is>
          <t>Explain the concept of Tanh in a neural network.</t>
        </is>
      </c>
      <c r="Q232" s="9" t="inlineStr">
        <is>
          <t>Build/Refine code</t>
        </is>
      </c>
      <c r="R232" s="9" t="n">
        <v>12</v>
      </c>
      <c r="S232" s="10" t="inlineStr">
        <is>
          <t>☐ Not Started</t>
        </is>
      </c>
      <c r="T232" s="10">
        <f>IF(S232="☑ Completed", "COMPLETED", "NOT STARTED")</f>
        <v/>
      </c>
      <c r="U232" s="9" t="inlineStr">
        <is>
          <t>Review Notes for Day 47</t>
        </is>
      </c>
    </row>
    <row r="233">
      <c r="A233" s="10" t="n">
        <v>47</v>
      </c>
      <c r="B233" s="10" t="inlineStr">
        <is>
          <t>2026-10-16</t>
        </is>
      </c>
      <c r="C233" s="10" t="n">
        <v>7</v>
      </c>
      <c r="D233" s="10" t="n">
        <v>2</v>
      </c>
      <c r="E233" s="9" t="inlineStr">
        <is>
          <t>Month 2</t>
        </is>
      </c>
      <c r="F233" s="9" t="inlineStr">
        <is>
          <t>Deep Learning</t>
        </is>
      </c>
      <c r="G233" s="9" t="inlineStr">
        <is>
          <t>Basics</t>
        </is>
      </c>
      <c r="H233" s="9" t="inlineStr">
        <is>
          <t>Softmax</t>
        </is>
      </c>
      <c r="I233" s="9" t="inlineStr">
        <is>
          <t>Master Softmax</t>
        </is>
      </c>
      <c r="J233" s="9" t="inlineStr">
        <is>
          <t>30 min</t>
        </is>
      </c>
      <c r="K233" s="9" t="inlineStr">
        <is>
          <t>30 min</t>
        </is>
      </c>
      <c r="L233" s="9" t="inlineStr">
        <is>
          <t>Code/Implement Softmax</t>
        </is>
      </c>
      <c r="M233" s="9" t="inlineStr">
        <is>
          <t>15 min</t>
        </is>
      </c>
      <c r="N233" s="9" t="inlineStr">
        <is>
          <t>How does Softmax help the network learn?</t>
        </is>
      </c>
      <c r="O233" s="9" t="inlineStr">
        <is>
          <t>15 min</t>
        </is>
      </c>
      <c r="P233" s="9" t="inlineStr">
        <is>
          <t>Explain the concept of Softmax in a neural network.</t>
        </is>
      </c>
      <c r="Q233" s="9" t="inlineStr">
        <is>
          <t>Build/Refine code</t>
        </is>
      </c>
      <c r="R233" s="9" t="inlineStr">
        <is>
          <t>-</t>
        </is>
      </c>
      <c r="S233" s="10" t="inlineStr">
        <is>
          <t>☐ Not Started</t>
        </is>
      </c>
      <c r="T233" s="10">
        <f>IF(S233="☑ Completed", "COMPLETED", "NOT STARTED")</f>
        <v/>
      </c>
      <c r="U233" s="9" t="inlineStr">
        <is>
          <t>Review Notes for Day 47</t>
        </is>
      </c>
    </row>
    <row r="234">
      <c r="A234" s="10" t="n">
        <v>47</v>
      </c>
      <c r="B234" s="10" t="inlineStr">
        <is>
          <t>2026-10-16</t>
        </is>
      </c>
      <c r="C234" s="10" t="n">
        <v>7</v>
      </c>
      <c r="D234" s="10" t="n">
        <v>2</v>
      </c>
      <c r="E234" s="9" t="inlineStr">
        <is>
          <t>Month 2</t>
        </is>
      </c>
      <c r="F234" s="9" t="inlineStr">
        <is>
          <t>Deep Learning</t>
        </is>
      </c>
      <c r="G234" s="9" t="inlineStr">
        <is>
          <t>Basics</t>
        </is>
      </c>
      <c r="H234" s="9" t="inlineStr">
        <is>
          <t>Forward propagation</t>
        </is>
      </c>
      <c r="I234" s="9" t="inlineStr">
        <is>
          <t>Master Forward propagation</t>
        </is>
      </c>
      <c r="J234" s="9" t="inlineStr">
        <is>
          <t>30 min</t>
        </is>
      </c>
      <c r="K234" s="9" t="inlineStr">
        <is>
          <t>30 min</t>
        </is>
      </c>
      <c r="L234" s="9" t="inlineStr">
        <is>
          <t>Code/Implement Forward propagation</t>
        </is>
      </c>
      <c r="M234" s="9" t="inlineStr">
        <is>
          <t>15 min</t>
        </is>
      </c>
      <c r="N234" s="9" t="inlineStr">
        <is>
          <t>How does Forward propagation help the network learn?</t>
        </is>
      </c>
      <c r="O234" s="9" t="inlineStr">
        <is>
          <t>15 min</t>
        </is>
      </c>
      <c r="P234" s="9" t="inlineStr">
        <is>
          <t>Explain the concept of Forward propagation in a neural network.</t>
        </is>
      </c>
      <c r="Q234" s="9" t="inlineStr">
        <is>
          <t>Build/Refine code</t>
        </is>
      </c>
      <c r="R234" s="9" t="inlineStr">
        <is>
          <t>-</t>
        </is>
      </c>
      <c r="S234" s="10" t="inlineStr">
        <is>
          <t>☐ Not Started</t>
        </is>
      </c>
      <c r="T234" s="10">
        <f>IF(S234="☑ Completed", "COMPLETED", "NOT STARTED")</f>
        <v/>
      </c>
      <c r="U234" s="9" t="inlineStr">
        <is>
          <t>Review Notes for Day 47</t>
        </is>
      </c>
    </row>
    <row r="235">
      <c r="A235" s="10" t="n">
        <v>47</v>
      </c>
      <c r="B235" s="10" t="inlineStr">
        <is>
          <t>2026-10-16</t>
        </is>
      </c>
      <c r="C235" s="10" t="n">
        <v>7</v>
      </c>
      <c r="D235" s="10" t="n">
        <v>2</v>
      </c>
      <c r="E235" s="9" t="inlineStr">
        <is>
          <t>Month 2</t>
        </is>
      </c>
      <c r="F235" s="9" t="inlineStr">
        <is>
          <t>Deep Learning</t>
        </is>
      </c>
      <c r="G235" s="9" t="inlineStr">
        <is>
          <t>Basics</t>
        </is>
      </c>
      <c r="H235" s="9" t="inlineStr">
        <is>
          <t>Loss function</t>
        </is>
      </c>
      <c r="I235" s="9" t="inlineStr">
        <is>
          <t>Master Loss function</t>
        </is>
      </c>
      <c r="J235" s="9" t="inlineStr">
        <is>
          <t>30 min</t>
        </is>
      </c>
      <c r="K235" s="9" t="inlineStr">
        <is>
          <t>30 min</t>
        </is>
      </c>
      <c r="L235" s="9" t="inlineStr">
        <is>
          <t>Code/Implement Loss function</t>
        </is>
      </c>
      <c r="M235" s="9" t="inlineStr">
        <is>
          <t>15 min</t>
        </is>
      </c>
      <c r="N235" s="9" t="inlineStr">
        <is>
          <t>How does Loss function help the network learn?</t>
        </is>
      </c>
      <c r="O235" s="9" t="inlineStr">
        <is>
          <t>15 min</t>
        </is>
      </c>
      <c r="P235" s="9" t="inlineStr">
        <is>
          <t>Explain the concept of Loss function in a neural network.</t>
        </is>
      </c>
      <c r="Q235" s="9" t="inlineStr">
        <is>
          <t>Build/Refine code</t>
        </is>
      </c>
      <c r="R235" s="9" t="inlineStr">
        <is>
          <t>-</t>
        </is>
      </c>
      <c r="S235" s="10" t="inlineStr">
        <is>
          <t>☐ Not Started</t>
        </is>
      </c>
      <c r="T235" s="10">
        <f>IF(S235="☑ Completed", "COMPLETED", "NOT STARTED")</f>
        <v/>
      </c>
      <c r="U235" s="9" t="inlineStr">
        <is>
          <t>Review Notes for Day 47</t>
        </is>
      </c>
    </row>
    <row r="236">
      <c r="A236" s="10" t="n">
        <v>47</v>
      </c>
      <c r="B236" s="10" t="inlineStr">
        <is>
          <t>2026-10-16</t>
        </is>
      </c>
      <c r="C236" s="10" t="n">
        <v>7</v>
      </c>
      <c r="D236" s="10" t="n">
        <v>2</v>
      </c>
      <c r="E236" s="9" t="inlineStr">
        <is>
          <t>Month 2</t>
        </is>
      </c>
      <c r="F236" s="9" t="inlineStr">
        <is>
          <t>Deep Learning</t>
        </is>
      </c>
      <c r="G236" s="9" t="inlineStr">
        <is>
          <t>Basics</t>
        </is>
      </c>
      <c r="H236" s="9" t="inlineStr">
        <is>
          <t>Backpropagation</t>
        </is>
      </c>
      <c r="I236" s="9" t="inlineStr">
        <is>
          <t>Master Backpropagation</t>
        </is>
      </c>
      <c r="J236" s="9" t="inlineStr">
        <is>
          <t>30 min</t>
        </is>
      </c>
      <c r="K236" s="9" t="inlineStr">
        <is>
          <t>30 min</t>
        </is>
      </c>
      <c r="L236" s="9" t="inlineStr">
        <is>
          <t>Code/Implement Backpropagation</t>
        </is>
      </c>
      <c r="M236" s="9" t="inlineStr">
        <is>
          <t>15 min</t>
        </is>
      </c>
      <c r="N236" s="9" t="inlineStr">
        <is>
          <t>How does Backpropagation help the network learn?</t>
        </is>
      </c>
      <c r="O236" s="9" t="inlineStr">
        <is>
          <t>15 min</t>
        </is>
      </c>
      <c r="P236" s="9" t="inlineStr">
        <is>
          <t>Explain the concept of Backpropagation in a neural network.</t>
        </is>
      </c>
      <c r="Q236" s="9" t="inlineStr">
        <is>
          <t>Build/Refine code</t>
        </is>
      </c>
      <c r="R236" s="9" t="inlineStr">
        <is>
          <t>-</t>
        </is>
      </c>
      <c r="S236" s="10" t="inlineStr">
        <is>
          <t>☐ Not Started</t>
        </is>
      </c>
      <c r="T236" s="10">
        <f>IF(S236="☑ Completed", "COMPLETED", "NOT STARTED")</f>
        <v/>
      </c>
      <c r="U236" s="9" t="inlineStr">
        <is>
          <t>Review Notes for Day 47</t>
        </is>
      </c>
    </row>
    <row r="237">
      <c r="A237" s="10" t="n">
        <v>48</v>
      </c>
      <c r="B237" s="10" t="inlineStr">
        <is>
          <t>2026-10-17</t>
        </is>
      </c>
      <c r="C237" s="10" t="n">
        <v>7</v>
      </c>
      <c r="D237" s="10" t="n">
        <v>2</v>
      </c>
      <c r="E237" s="9" t="inlineStr">
        <is>
          <t>Month 2</t>
        </is>
      </c>
      <c r="F237" s="9" t="inlineStr">
        <is>
          <t>Deep Learning</t>
        </is>
      </c>
      <c r="G237" s="9" t="inlineStr">
        <is>
          <t>Basics</t>
        </is>
      </c>
      <c r="H237" s="9" t="inlineStr">
        <is>
          <t>Gradient descent</t>
        </is>
      </c>
      <c r="I237" s="9" t="inlineStr">
        <is>
          <t>Master Gradient descent</t>
        </is>
      </c>
      <c r="J237" s="9" t="inlineStr">
        <is>
          <t>45 min</t>
        </is>
      </c>
      <c r="K237" s="9" t="inlineStr">
        <is>
          <t>45 min</t>
        </is>
      </c>
      <c r="L237" s="9" t="inlineStr">
        <is>
          <t>Code/Implement Gradient descent</t>
        </is>
      </c>
      <c r="M237" s="9" t="inlineStr">
        <is>
          <t>15 min</t>
        </is>
      </c>
      <c r="N237" s="9" t="inlineStr">
        <is>
          <t>How does Gradient descent help the network learn?</t>
        </is>
      </c>
      <c r="O237" s="9" t="inlineStr">
        <is>
          <t>15 min</t>
        </is>
      </c>
      <c r="P237" s="9" t="inlineStr">
        <is>
          <t>Explain the concept of Gradient descent in a neural network.</t>
        </is>
      </c>
      <c r="Q237" s="9" t="inlineStr">
        <is>
          <t>Build/Refine code</t>
        </is>
      </c>
      <c r="R237" s="9" t="n">
        <v>12</v>
      </c>
      <c r="S237" s="10" t="inlineStr">
        <is>
          <t>☐ Not Started</t>
        </is>
      </c>
      <c r="T237" s="10">
        <f>IF(S237="☑ Completed", "COMPLETED", "NOT STARTED")</f>
        <v/>
      </c>
      <c r="U237" s="9" t="inlineStr">
        <is>
          <t>Review Notes for Day 48</t>
        </is>
      </c>
    </row>
    <row r="238">
      <c r="A238" s="10" t="n">
        <v>48</v>
      </c>
      <c r="B238" s="10" t="inlineStr">
        <is>
          <t>2026-10-17</t>
        </is>
      </c>
      <c r="C238" s="10" t="n">
        <v>7</v>
      </c>
      <c r="D238" s="10" t="n">
        <v>2</v>
      </c>
      <c r="E238" s="9" t="inlineStr">
        <is>
          <t>Month 2</t>
        </is>
      </c>
      <c r="F238" s="9" t="inlineStr">
        <is>
          <t>Deep Learning</t>
        </is>
      </c>
      <c r="G238" s="9" t="inlineStr">
        <is>
          <t>Basics</t>
        </is>
      </c>
      <c r="H238" s="9" t="inlineStr">
        <is>
          <t>Learning rate</t>
        </is>
      </c>
      <c r="I238" s="9" t="inlineStr">
        <is>
          <t>Master Learning rate</t>
        </is>
      </c>
      <c r="J238" s="9" t="inlineStr">
        <is>
          <t>30 min</t>
        </is>
      </c>
      <c r="K238" s="9" t="inlineStr">
        <is>
          <t>30 min</t>
        </is>
      </c>
      <c r="L238" s="9" t="inlineStr">
        <is>
          <t>Code/Implement Learning rate</t>
        </is>
      </c>
      <c r="M238" s="9" t="inlineStr">
        <is>
          <t>15 min</t>
        </is>
      </c>
      <c r="N238" s="9" t="inlineStr">
        <is>
          <t>How does Learning rate help the network learn?</t>
        </is>
      </c>
      <c r="O238" s="9" t="inlineStr">
        <is>
          <t>15 min</t>
        </is>
      </c>
      <c r="P238" s="9" t="inlineStr">
        <is>
          <t>Explain the concept of Learning rate in a neural network.</t>
        </is>
      </c>
      <c r="Q238" s="9" t="inlineStr">
        <is>
          <t>Build/Refine code</t>
        </is>
      </c>
      <c r="R238" s="9" t="inlineStr">
        <is>
          <t>-</t>
        </is>
      </c>
      <c r="S238" s="10" t="inlineStr">
        <is>
          <t>☐ Not Started</t>
        </is>
      </c>
      <c r="T238" s="10">
        <f>IF(S238="☑ Completed", "COMPLETED", "NOT STARTED")</f>
        <v/>
      </c>
      <c r="U238" s="9" t="inlineStr">
        <is>
          <t>Review Notes for Day 48</t>
        </is>
      </c>
    </row>
    <row r="239">
      <c r="A239" s="10" t="n">
        <v>48</v>
      </c>
      <c r="B239" s="10" t="inlineStr">
        <is>
          <t>2026-10-17</t>
        </is>
      </c>
      <c r="C239" s="10" t="n">
        <v>7</v>
      </c>
      <c r="D239" s="10" t="n">
        <v>2</v>
      </c>
      <c r="E239" s="9" t="inlineStr">
        <is>
          <t>Month 2</t>
        </is>
      </c>
      <c r="F239" s="9" t="inlineStr">
        <is>
          <t>Deep Learning</t>
        </is>
      </c>
      <c r="G239" s="9" t="inlineStr">
        <is>
          <t>Basics</t>
        </is>
      </c>
      <c r="H239" s="9" t="inlineStr">
        <is>
          <t>Epoch</t>
        </is>
      </c>
      <c r="I239" s="9" t="inlineStr">
        <is>
          <t>Master Epoch</t>
        </is>
      </c>
      <c r="J239" s="9" t="inlineStr">
        <is>
          <t>30 min</t>
        </is>
      </c>
      <c r="K239" s="9" t="inlineStr">
        <is>
          <t>30 min</t>
        </is>
      </c>
      <c r="L239" s="9" t="inlineStr">
        <is>
          <t>Code/Implement Epoch</t>
        </is>
      </c>
      <c r="M239" s="9" t="inlineStr">
        <is>
          <t>15 min</t>
        </is>
      </c>
      <c r="N239" s="9" t="inlineStr">
        <is>
          <t>How does Epoch help the network learn?</t>
        </is>
      </c>
      <c r="O239" s="9" t="inlineStr">
        <is>
          <t>15 min</t>
        </is>
      </c>
      <c r="P239" s="9" t="inlineStr">
        <is>
          <t>Explain the concept of Epoch in a neural network.</t>
        </is>
      </c>
      <c r="Q239" s="9" t="inlineStr">
        <is>
          <t>Build/Refine code</t>
        </is>
      </c>
      <c r="R239" s="9" t="inlineStr">
        <is>
          <t>-</t>
        </is>
      </c>
      <c r="S239" s="10" t="inlineStr">
        <is>
          <t>☐ Not Started</t>
        </is>
      </c>
      <c r="T239" s="10">
        <f>IF(S239="☑ Completed", "COMPLETED", "NOT STARTED")</f>
        <v/>
      </c>
      <c r="U239" s="9" t="inlineStr">
        <is>
          <t>Review Notes for Day 48</t>
        </is>
      </c>
    </row>
    <row r="240">
      <c r="A240" s="10" t="n">
        <v>48</v>
      </c>
      <c r="B240" s="10" t="inlineStr">
        <is>
          <t>2026-10-17</t>
        </is>
      </c>
      <c r="C240" s="10" t="n">
        <v>7</v>
      </c>
      <c r="D240" s="10" t="n">
        <v>2</v>
      </c>
      <c r="E240" s="9" t="inlineStr">
        <is>
          <t>Month 2</t>
        </is>
      </c>
      <c r="F240" s="9" t="inlineStr">
        <is>
          <t>Deep Learning</t>
        </is>
      </c>
      <c r="G240" s="9" t="inlineStr">
        <is>
          <t>Basics</t>
        </is>
      </c>
      <c r="H240" s="9" t="inlineStr">
        <is>
          <t>Batch</t>
        </is>
      </c>
      <c r="I240" s="9" t="inlineStr">
        <is>
          <t>Master Batch</t>
        </is>
      </c>
      <c r="J240" s="9" t="inlineStr">
        <is>
          <t>30 min</t>
        </is>
      </c>
      <c r="K240" s="9" t="inlineStr">
        <is>
          <t>30 min</t>
        </is>
      </c>
      <c r="L240" s="9" t="inlineStr">
        <is>
          <t>Code/Implement Batch</t>
        </is>
      </c>
      <c r="M240" s="9" t="inlineStr">
        <is>
          <t>15 min</t>
        </is>
      </c>
      <c r="N240" s="9" t="inlineStr">
        <is>
          <t>How does Batch help the network learn?</t>
        </is>
      </c>
      <c r="O240" s="9" t="inlineStr">
        <is>
          <t>15 min</t>
        </is>
      </c>
      <c r="P240" s="9" t="inlineStr">
        <is>
          <t>Explain the concept of Batch in a neural network.</t>
        </is>
      </c>
      <c r="Q240" s="9" t="inlineStr">
        <is>
          <t>Build/Refine code</t>
        </is>
      </c>
      <c r="R240" s="9" t="inlineStr">
        <is>
          <t>-</t>
        </is>
      </c>
      <c r="S240" s="10" t="inlineStr">
        <is>
          <t>☐ Not Started</t>
        </is>
      </c>
      <c r="T240" s="10">
        <f>IF(S240="☑ Completed", "COMPLETED", "NOT STARTED")</f>
        <v/>
      </c>
      <c r="U240" s="9" t="inlineStr">
        <is>
          <t>Review Notes for Day 48</t>
        </is>
      </c>
    </row>
    <row r="241">
      <c r="A241" s="10" t="n">
        <v>48</v>
      </c>
      <c r="B241" s="10" t="inlineStr">
        <is>
          <t>2026-10-17</t>
        </is>
      </c>
      <c r="C241" s="10" t="n">
        <v>7</v>
      </c>
      <c r="D241" s="10" t="n">
        <v>2</v>
      </c>
      <c r="E241" s="9" t="inlineStr">
        <is>
          <t>Month 2</t>
        </is>
      </c>
      <c r="F241" s="9" t="inlineStr">
        <is>
          <t>Deep Learning</t>
        </is>
      </c>
      <c r="G241" s="9" t="inlineStr">
        <is>
          <t>Basics</t>
        </is>
      </c>
      <c r="H241" s="9" t="inlineStr">
        <is>
          <t>Batch size</t>
        </is>
      </c>
      <c r="I241" s="9" t="inlineStr">
        <is>
          <t>Master Batch size</t>
        </is>
      </c>
      <c r="J241" s="9" t="inlineStr">
        <is>
          <t>30 min</t>
        </is>
      </c>
      <c r="K241" s="9" t="inlineStr">
        <is>
          <t>30 min</t>
        </is>
      </c>
      <c r="L241" s="9" t="inlineStr">
        <is>
          <t>Code/Implement Batch size</t>
        </is>
      </c>
      <c r="M241" s="9" t="inlineStr">
        <is>
          <t>15 min</t>
        </is>
      </c>
      <c r="N241" s="9" t="inlineStr">
        <is>
          <t>How does Batch size help the network learn?</t>
        </is>
      </c>
      <c r="O241" s="9" t="inlineStr">
        <is>
          <t>15 min</t>
        </is>
      </c>
      <c r="P241" s="9" t="inlineStr">
        <is>
          <t>Explain the concept of Batch size in a neural network.</t>
        </is>
      </c>
      <c r="Q241" s="9" t="inlineStr">
        <is>
          <t>Build/Refine code</t>
        </is>
      </c>
      <c r="R241" s="9" t="inlineStr">
        <is>
          <t>-</t>
        </is>
      </c>
      <c r="S241" s="10" t="inlineStr">
        <is>
          <t>☐ Not Started</t>
        </is>
      </c>
      <c r="T241" s="10">
        <f>IF(S241="☑ Completed", "COMPLETED", "NOT STARTED")</f>
        <v/>
      </c>
      <c r="U241" s="9" t="inlineStr">
        <is>
          <t>Review Notes for Day 48</t>
        </is>
      </c>
    </row>
    <row r="242">
      <c r="A242" s="10" t="n">
        <v>49</v>
      </c>
      <c r="B242" s="10" t="inlineStr">
        <is>
          <t>2026-10-18</t>
        </is>
      </c>
      <c r="C242" s="10" t="n">
        <v>7</v>
      </c>
      <c r="D242" s="10" t="n">
        <v>2</v>
      </c>
      <c r="E242" s="9" t="inlineStr">
        <is>
          <t>Month 2</t>
        </is>
      </c>
      <c r="F242" s="9" t="inlineStr">
        <is>
          <t>Deep Learning</t>
        </is>
      </c>
      <c r="G242" s="9" t="inlineStr">
        <is>
          <t>Basics</t>
        </is>
      </c>
      <c r="H242" s="9" t="inlineStr">
        <is>
          <t>Optimizer</t>
        </is>
      </c>
      <c r="I242" s="9" t="inlineStr">
        <is>
          <t>Master Optimizer</t>
        </is>
      </c>
      <c r="J242" s="9" t="inlineStr">
        <is>
          <t>45 min</t>
        </is>
      </c>
      <c r="K242" s="9" t="inlineStr">
        <is>
          <t>45 min</t>
        </is>
      </c>
      <c r="L242" s="9" t="inlineStr">
        <is>
          <t>Code/Implement Optimizer</t>
        </is>
      </c>
      <c r="M242" s="9" t="inlineStr">
        <is>
          <t>15 min</t>
        </is>
      </c>
      <c r="N242" s="9" t="inlineStr">
        <is>
          <t>How does Optimizer help the network learn?</t>
        </is>
      </c>
      <c r="O242" s="9" t="inlineStr">
        <is>
          <t>15 min</t>
        </is>
      </c>
      <c r="P242" s="9" t="inlineStr">
        <is>
          <t>Explain the concept of Optimizer in a neural network.</t>
        </is>
      </c>
      <c r="Q242" s="9" t="inlineStr">
        <is>
          <t>Build/Refine code</t>
        </is>
      </c>
      <c r="R242" s="9" t="n">
        <v>12</v>
      </c>
      <c r="S242" s="10" t="inlineStr">
        <is>
          <t>☐ Not Started</t>
        </is>
      </c>
      <c r="T242" s="10">
        <f>IF(S242="☑ Completed", "COMPLETED", "NOT STARTED")</f>
        <v/>
      </c>
      <c r="U242" s="9" t="inlineStr">
        <is>
          <t>Review Notes for Day 49</t>
        </is>
      </c>
    </row>
    <row r="243">
      <c r="A243" s="10" t="n">
        <v>49</v>
      </c>
      <c r="B243" s="10" t="inlineStr">
        <is>
          <t>2026-10-18</t>
        </is>
      </c>
      <c r="C243" s="10" t="n">
        <v>7</v>
      </c>
      <c r="D243" s="10" t="n">
        <v>2</v>
      </c>
      <c r="E243" s="9" t="inlineStr">
        <is>
          <t>Month 2</t>
        </is>
      </c>
      <c r="F243" s="9" t="inlineStr">
        <is>
          <t>Deep Learning</t>
        </is>
      </c>
      <c r="G243" s="9" t="inlineStr">
        <is>
          <t>Basics</t>
        </is>
      </c>
      <c r="H243" s="9" t="inlineStr">
        <is>
          <t>SGD</t>
        </is>
      </c>
      <c r="I243" s="9" t="inlineStr">
        <is>
          <t>Master SGD</t>
        </is>
      </c>
      <c r="J243" s="9" t="inlineStr">
        <is>
          <t>30 min</t>
        </is>
      </c>
      <c r="K243" s="9" t="inlineStr">
        <is>
          <t>30 min</t>
        </is>
      </c>
      <c r="L243" s="9" t="inlineStr">
        <is>
          <t>Code/Implement SGD</t>
        </is>
      </c>
      <c r="M243" s="9" t="inlineStr">
        <is>
          <t>15 min</t>
        </is>
      </c>
      <c r="N243" s="9" t="inlineStr">
        <is>
          <t>How does SGD help the network learn?</t>
        </is>
      </c>
      <c r="O243" s="9" t="inlineStr">
        <is>
          <t>15 min</t>
        </is>
      </c>
      <c r="P243" s="9" t="inlineStr">
        <is>
          <t>Explain the concept of SGD in a neural network.</t>
        </is>
      </c>
      <c r="Q243" s="9" t="inlineStr">
        <is>
          <t>Build/Refine code</t>
        </is>
      </c>
      <c r="R243" s="9" t="inlineStr">
        <is>
          <t>-</t>
        </is>
      </c>
      <c r="S243" s="10" t="inlineStr">
        <is>
          <t>☐ Not Started</t>
        </is>
      </c>
      <c r="T243" s="10">
        <f>IF(S243="☑ Completed", "COMPLETED", "NOT STARTED")</f>
        <v/>
      </c>
      <c r="U243" s="9" t="inlineStr">
        <is>
          <t>Review Notes for Day 49</t>
        </is>
      </c>
    </row>
    <row r="244">
      <c r="A244" s="10" t="n">
        <v>49</v>
      </c>
      <c r="B244" s="10" t="inlineStr">
        <is>
          <t>2026-10-18</t>
        </is>
      </c>
      <c r="C244" s="10" t="n">
        <v>7</v>
      </c>
      <c r="D244" s="10" t="n">
        <v>2</v>
      </c>
      <c r="E244" s="9" t="inlineStr">
        <is>
          <t>Month 2</t>
        </is>
      </c>
      <c r="F244" s="9" t="inlineStr">
        <is>
          <t>Deep Learning</t>
        </is>
      </c>
      <c r="G244" s="9" t="inlineStr">
        <is>
          <t>Basics</t>
        </is>
      </c>
      <c r="H244" s="9" t="inlineStr">
        <is>
          <t>Adam</t>
        </is>
      </c>
      <c r="I244" s="9" t="inlineStr">
        <is>
          <t>Master Adam</t>
        </is>
      </c>
      <c r="J244" s="9" t="inlineStr">
        <is>
          <t>30 min</t>
        </is>
      </c>
      <c r="K244" s="9" t="inlineStr">
        <is>
          <t>30 min</t>
        </is>
      </c>
      <c r="L244" s="9" t="inlineStr">
        <is>
          <t>Code/Implement Adam</t>
        </is>
      </c>
      <c r="M244" s="9" t="inlineStr">
        <is>
          <t>15 min</t>
        </is>
      </c>
      <c r="N244" s="9" t="inlineStr">
        <is>
          <t>How does Adam help the network learn?</t>
        </is>
      </c>
      <c r="O244" s="9" t="inlineStr">
        <is>
          <t>15 min</t>
        </is>
      </c>
      <c r="P244" s="9" t="inlineStr">
        <is>
          <t>Explain the concept of Adam in a neural network.</t>
        </is>
      </c>
      <c r="Q244" s="9" t="inlineStr">
        <is>
          <t>Build/Refine code</t>
        </is>
      </c>
      <c r="R244" s="9" t="inlineStr">
        <is>
          <t>-</t>
        </is>
      </c>
      <c r="S244" s="10" t="inlineStr">
        <is>
          <t>☐ Not Started</t>
        </is>
      </c>
      <c r="T244" s="10">
        <f>IF(S244="☑ Completed", "COMPLETED", "NOT STARTED")</f>
        <v/>
      </c>
      <c r="U244" s="9" t="inlineStr">
        <is>
          <t>Review Notes for Day 49</t>
        </is>
      </c>
    </row>
    <row r="245">
      <c r="A245" s="10" t="n">
        <v>49</v>
      </c>
      <c r="B245" s="10" t="inlineStr">
        <is>
          <t>2026-10-18</t>
        </is>
      </c>
      <c r="C245" s="10" t="n">
        <v>7</v>
      </c>
      <c r="D245" s="10" t="n">
        <v>2</v>
      </c>
      <c r="E245" s="9" t="inlineStr">
        <is>
          <t>Month 2</t>
        </is>
      </c>
      <c r="F245" s="9" t="inlineStr">
        <is>
          <t>Deep Learning</t>
        </is>
      </c>
      <c r="G245" s="9" t="inlineStr">
        <is>
          <t>Basics</t>
        </is>
      </c>
      <c r="H245" s="9" t="inlineStr">
        <is>
          <t>Dropout</t>
        </is>
      </c>
      <c r="I245" s="9" t="inlineStr">
        <is>
          <t>Master Dropout</t>
        </is>
      </c>
      <c r="J245" s="9" t="inlineStr">
        <is>
          <t>30 min</t>
        </is>
      </c>
      <c r="K245" s="9" t="inlineStr">
        <is>
          <t>30 min</t>
        </is>
      </c>
      <c r="L245" s="9" t="inlineStr">
        <is>
          <t>Code/Implement Dropout</t>
        </is>
      </c>
      <c r="M245" s="9" t="inlineStr">
        <is>
          <t>15 min</t>
        </is>
      </c>
      <c r="N245" s="9" t="inlineStr">
        <is>
          <t>How does Dropout help the network learn?</t>
        </is>
      </c>
      <c r="O245" s="9" t="inlineStr">
        <is>
          <t>15 min</t>
        </is>
      </c>
      <c r="P245" s="9" t="inlineStr">
        <is>
          <t>Explain the concept of Dropout in a neural network.</t>
        </is>
      </c>
      <c r="Q245" s="9" t="inlineStr">
        <is>
          <t>Build/Refine code</t>
        </is>
      </c>
      <c r="R245" s="9" t="inlineStr">
        <is>
          <t>-</t>
        </is>
      </c>
      <c r="S245" s="10" t="inlineStr">
        <is>
          <t>☐ Not Started</t>
        </is>
      </c>
      <c r="T245" s="10">
        <f>IF(S245="☑ Completed", "COMPLETED", "NOT STARTED")</f>
        <v/>
      </c>
      <c r="U245" s="9" t="inlineStr">
        <is>
          <t>Review Notes for Day 49</t>
        </is>
      </c>
    </row>
    <row r="246">
      <c r="A246" s="10" t="n">
        <v>49</v>
      </c>
      <c r="B246" s="10" t="inlineStr">
        <is>
          <t>2026-10-18</t>
        </is>
      </c>
      <c r="C246" s="10" t="n">
        <v>7</v>
      </c>
      <c r="D246" s="10" t="n">
        <v>2</v>
      </c>
      <c r="E246" s="9" t="inlineStr">
        <is>
          <t>Month 2</t>
        </is>
      </c>
      <c r="F246" s="9" t="inlineStr">
        <is>
          <t>Deep Learning</t>
        </is>
      </c>
      <c r="G246" s="9" t="inlineStr">
        <is>
          <t>Basics</t>
        </is>
      </c>
      <c r="H246" s="9" t="inlineStr">
        <is>
          <t>Batch normalization</t>
        </is>
      </c>
      <c r="I246" s="9" t="inlineStr">
        <is>
          <t>Master Batch normalization</t>
        </is>
      </c>
      <c r="J246" s="9" t="inlineStr">
        <is>
          <t>30 min</t>
        </is>
      </c>
      <c r="K246" s="9" t="inlineStr">
        <is>
          <t>30 min</t>
        </is>
      </c>
      <c r="L246" s="9" t="inlineStr">
        <is>
          <t>Code/Implement Batch normalization</t>
        </is>
      </c>
      <c r="M246" s="9" t="inlineStr">
        <is>
          <t>15 min</t>
        </is>
      </c>
      <c r="N246" s="9" t="inlineStr">
        <is>
          <t>How does Batch normalization help the network learn?</t>
        </is>
      </c>
      <c r="O246" s="9" t="inlineStr">
        <is>
          <t>15 min</t>
        </is>
      </c>
      <c r="P246" s="9" t="inlineStr">
        <is>
          <t>Explain the concept of Batch normalization in a neural network.</t>
        </is>
      </c>
      <c r="Q246" s="9" t="inlineStr">
        <is>
          <t>Build/Refine code</t>
        </is>
      </c>
      <c r="R246" s="9" t="inlineStr">
        <is>
          <t>-</t>
        </is>
      </c>
      <c r="S246" s="10" t="inlineStr">
        <is>
          <t>☐ Not Started</t>
        </is>
      </c>
      <c r="T246" s="10">
        <f>IF(S246="☑ Completed", "COMPLETED", "NOT STARTED")</f>
        <v/>
      </c>
      <c r="U246" s="9" t="inlineStr">
        <is>
          <t>Review Notes for Day 49</t>
        </is>
      </c>
    </row>
    <row r="247">
      <c r="A247" s="10" t="n">
        <v>50</v>
      </c>
      <c r="B247" s="10" t="inlineStr">
        <is>
          <t>2026-10-19</t>
        </is>
      </c>
      <c r="C247" s="10" t="n">
        <v>8</v>
      </c>
      <c r="D247" s="10" t="n">
        <v>2</v>
      </c>
      <c r="E247" s="9" t="inlineStr">
        <is>
          <t>Month 2</t>
        </is>
      </c>
      <c r="F247" s="9" t="inlineStr">
        <is>
          <t>Deep Learning</t>
        </is>
      </c>
      <c r="G247" s="9" t="inlineStr">
        <is>
          <t>Basics</t>
        </is>
      </c>
      <c r="H247" s="9" t="inlineStr">
        <is>
          <t>Early stopping</t>
        </is>
      </c>
      <c r="I247" s="9" t="inlineStr">
        <is>
          <t>Master Early stopping</t>
        </is>
      </c>
      <c r="J247" s="9" t="inlineStr">
        <is>
          <t>45 min</t>
        </is>
      </c>
      <c r="K247" s="9" t="inlineStr">
        <is>
          <t>45 min</t>
        </is>
      </c>
      <c r="L247" s="9" t="inlineStr">
        <is>
          <t>Code/Implement Early stopping</t>
        </is>
      </c>
      <c r="M247" s="9" t="inlineStr">
        <is>
          <t>15 min</t>
        </is>
      </c>
      <c r="N247" s="9" t="inlineStr">
        <is>
          <t>How does Early stopping help the network learn?</t>
        </is>
      </c>
      <c r="O247" s="9" t="inlineStr">
        <is>
          <t>15 min</t>
        </is>
      </c>
      <c r="P247" s="9" t="inlineStr">
        <is>
          <t>Explain the concept of Early stopping in a neural network.</t>
        </is>
      </c>
      <c r="Q247" s="9" t="inlineStr">
        <is>
          <t>Build/Refine code</t>
        </is>
      </c>
      <c r="R247" s="9" t="n">
        <v>12</v>
      </c>
      <c r="S247" s="10" t="inlineStr">
        <is>
          <t>☐ Not Started</t>
        </is>
      </c>
      <c r="T247" s="10">
        <f>IF(S247="☑ Completed", "COMPLETED", "NOT STARTED")</f>
        <v/>
      </c>
      <c r="U247" s="9" t="inlineStr">
        <is>
          <t>Review Notes for Day 50</t>
        </is>
      </c>
    </row>
    <row r="248">
      <c r="A248" s="10" t="n">
        <v>50</v>
      </c>
      <c r="B248" s="10" t="inlineStr">
        <is>
          <t>2026-10-19</t>
        </is>
      </c>
      <c r="C248" s="10" t="n">
        <v>8</v>
      </c>
      <c r="D248" s="10" t="n">
        <v>2</v>
      </c>
      <c r="E248" s="9" t="inlineStr">
        <is>
          <t>Month 2</t>
        </is>
      </c>
      <c r="F248" s="9" t="inlineStr">
        <is>
          <t>PyTorch</t>
        </is>
      </c>
      <c r="G248" s="9" t="inlineStr">
        <is>
          <t>Basics</t>
        </is>
      </c>
      <c r="H248" s="9" t="inlineStr">
        <is>
          <t>Tensor</t>
        </is>
      </c>
      <c r="I248" s="9" t="inlineStr">
        <is>
          <t>Master Tensor</t>
        </is>
      </c>
      <c r="J248" s="9" t="inlineStr">
        <is>
          <t>30 min</t>
        </is>
      </c>
      <c r="K248" s="9" t="inlineStr">
        <is>
          <t>30 min</t>
        </is>
      </c>
      <c r="L248" s="9" t="inlineStr">
        <is>
          <t>Code/Implement Tensor</t>
        </is>
      </c>
      <c r="M248" s="9" t="inlineStr">
        <is>
          <t>15 min</t>
        </is>
      </c>
      <c r="N248" s="9" t="inlineStr">
        <is>
          <t>How do you implement Tensor in PyTorch?</t>
        </is>
      </c>
      <c r="O248" s="9" t="inlineStr">
        <is>
          <t>15 min</t>
        </is>
      </c>
      <c r="P248" s="9" t="inlineStr">
        <is>
          <t>Describe the PyTorch syntax for Tensor.</t>
        </is>
      </c>
      <c r="Q248" s="9" t="inlineStr">
        <is>
          <t>Build/Refine code</t>
        </is>
      </c>
      <c r="R248" s="9" t="inlineStr">
        <is>
          <t>-</t>
        </is>
      </c>
      <c r="S248" s="10" t="inlineStr">
        <is>
          <t>☐ Not Started</t>
        </is>
      </c>
      <c r="T248" s="10">
        <f>IF(S248="☑ Completed", "COMPLETED", "NOT STARTED")</f>
        <v/>
      </c>
      <c r="U248" s="9" t="inlineStr">
        <is>
          <t>Review Notes for Day 50</t>
        </is>
      </c>
    </row>
    <row r="249">
      <c r="A249" s="10" t="n">
        <v>50</v>
      </c>
      <c r="B249" s="10" t="inlineStr">
        <is>
          <t>2026-10-19</t>
        </is>
      </c>
      <c r="C249" s="10" t="n">
        <v>8</v>
      </c>
      <c r="D249" s="10" t="n">
        <v>2</v>
      </c>
      <c r="E249" s="9" t="inlineStr">
        <is>
          <t>Month 2</t>
        </is>
      </c>
      <c r="F249" s="9" t="inlineStr">
        <is>
          <t>PyTorch</t>
        </is>
      </c>
      <c r="G249" s="9" t="inlineStr">
        <is>
          <t>Basics</t>
        </is>
      </c>
      <c r="H249" s="9" t="inlineStr">
        <is>
          <t>Tensor operations</t>
        </is>
      </c>
      <c r="I249" s="9" t="inlineStr">
        <is>
          <t>Master Tensor operations</t>
        </is>
      </c>
      <c r="J249" s="9" t="inlineStr">
        <is>
          <t>30 min</t>
        </is>
      </c>
      <c r="K249" s="9" t="inlineStr">
        <is>
          <t>30 min</t>
        </is>
      </c>
      <c r="L249" s="9" t="inlineStr">
        <is>
          <t>Code/Implement Tensor operations</t>
        </is>
      </c>
      <c r="M249" s="9" t="inlineStr">
        <is>
          <t>15 min</t>
        </is>
      </c>
      <c r="N249" s="9" t="inlineStr">
        <is>
          <t>How do you implement Tensor operations in PyTorch?</t>
        </is>
      </c>
      <c r="O249" s="9" t="inlineStr">
        <is>
          <t>15 min</t>
        </is>
      </c>
      <c r="P249" s="9" t="inlineStr">
        <is>
          <t>Describe the PyTorch syntax for Tensor operations.</t>
        </is>
      </c>
      <c r="Q249" s="9" t="inlineStr">
        <is>
          <t>Build/Refine code</t>
        </is>
      </c>
      <c r="R249" s="9" t="inlineStr">
        <is>
          <t>-</t>
        </is>
      </c>
      <c r="S249" s="10" t="inlineStr">
        <is>
          <t>☐ Not Started</t>
        </is>
      </c>
      <c r="T249" s="10">
        <f>IF(S249="☑ Completed", "COMPLETED", "NOT STARTED")</f>
        <v/>
      </c>
      <c r="U249" s="9" t="inlineStr">
        <is>
          <t>Review Notes for Day 50</t>
        </is>
      </c>
    </row>
    <row r="250">
      <c r="A250" s="10" t="n">
        <v>50</v>
      </c>
      <c r="B250" s="10" t="inlineStr">
        <is>
          <t>2026-10-19</t>
        </is>
      </c>
      <c r="C250" s="10" t="n">
        <v>8</v>
      </c>
      <c r="D250" s="10" t="n">
        <v>2</v>
      </c>
      <c r="E250" s="9" t="inlineStr">
        <is>
          <t>Month 2</t>
        </is>
      </c>
      <c r="F250" s="9" t="inlineStr">
        <is>
          <t>PyTorch</t>
        </is>
      </c>
      <c r="G250" s="9" t="inlineStr">
        <is>
          <t>Basics</t>
        </is>
      </c>
      <c r="H250" s="9" t="inlineStr">
        <is>
          <t>Dataset</t>
        </is>
      </c>
      <c r="I250" s="9" t="inlineStr">
        <is>
          <t>Master Dataset</t>
        </is>
      </c>
      <c r="J250" s="9" t="inlineStr">
        <is>
          <t>30 min</t>
        </is>
      </c>
      <c r="K250" s="9" t="inlineStr">
        <is>
          <t>30 min</t>
        </is>
      </c>
      <c r="L250" s="9" t="inlineStr">
        <is>
          <t>Code/Implement Dataset</t>
        </is>
      </c>
      <c r="M250" s="9" t="inlineStr">
        <is>
          <t>15 min</t>
        </is>
      </c>
      <c r="N250" s="9" t="inlineStr">
        <is>
          <t>How do you implement Dataset in PyTorch?</t>
        </is>
      </c>
      <c r="O250" s="9" t="inlineStr">
        <is>
          <t>15 min</t>
        </is>
      </c>
      <c r="P250" s="9" t="inlineStr">
        <is>
          <t>Describe the PyTorch syntax for Dataset.</t>
        </is>
      </c>
      <c r="Q250" s="9" t="inlineStr">
        <is>
          <t>Build/Refine code</t>
        </is>
      </c>
      <c r="R250" s="9" t="inlineStr">
        <is>
          <t>-</t>
        </is>
      </c>
      <c r="S250" s="10" t="inlineStr">
        <is>
          <t>☐ Not Started</t>
        </is>
      </c>
      <c r="T250" s="10">
        <f>IF(S250="☑ Completed", "COMPLETED", "NOT STARTED")</f>
        <v/>
      </c>
      <c r="U250" s="9" t="inlineStr">
        <is>
          <t>Review Notes for Day 50</t>
        </is>
      </c>
    </row>
    <row r="251">
      <c r="A251" s="10" t="n">
        <v>50</v>
      </c>
      <c r="B251" s="10" t="inlineStr">
        <is>
          <t>2026-10-19</t>
        </is>
      </c>
      <c r="C251" s="10" t="n">
        <v>8</v>
      </c>
      <c r="D251" s="10" t="n">
        <v>2</v>
      </c>
      <c r="E251" s="9" t="inlineStr">
        <is>
          <t>Month 2</t>
        </is>
      </c>
      <c r="F251" s="9" t="inlineStr">
        <is>
          <t>PyTorch</t>
        </is>
      </c>
      <c r="G251" s="9" t="inlineStr">
        <is>
          <t>Basics</t>
        </is>
      </c>
      <c r="H251" s="9" t="inlineStr">
        <is>
          <t>DataLoader</t>
        </is>
      </c>
      <c r="I251" s="9" t="inlineStr">
        <is>
          <t>Master DataLoader</t>
        </is>
      </c>
      <c r="J251" s="9" t="inlineStr">
        <is>
          <t>30 min</t>
        </is>
      </c>
      <c r="K251" s="9" t="inlineStr">
        <is>
          <t>30 min</t>
        </is>
      </c>
      <c r="L251" s="9" t="inlineStr">
        <is>
          <t>Code/Implement DataLoader</t>
        </is>
      </c>
      <c r="M251" s="9" t="inlineStr">
        <is>
          <t>15 min</t>
        </is>
      </c>
      <c r="N251" s="9" t="inlineStr">
        <is>
          <t>How do you implement DataLoader in PyTorch?</t>
        </is>
      </c>
      <c r="O251" s="9" t="inlineStr">
        <is>
          <t>15 min</t>
        </is>
      </c>
      <c r="P251" s="9" t="inlineStr">
        <is>
          <t>Describe the PyTorch syntax for DataLoader.</t>
        </is>
      </c>
      <c r="Q251" s="9" t="inlineStr">
        <is>
          <t>Build/Refine code</t>
        </is>
      </c>
      <c r="R251" s="9" t="inlineStr">
        <is>
          <t>-</t>
        </is>
      </c>
      <c r="S251" s="10" t="inlineStr">
        <is>
          <t>☐ Not Started</t>
        </is>
      </c>
      <c r="T251" s="10">
        <f>IF(S251="☑ Completed", "COMPLETED", "NOT STARTED")</f>
        <v/>
      </c>
      <c r="U251" s="9" t="inlineStr">
        <is>
          <t>Review Notes for Day 50</t>
        </is>
      </c>
    </row>
    <row r="252">
      <c r="A252" s="10" t="n">
        <v>51</v>
      </c>
      <c r="B252" s="10" t="inlineStr">
        <is>
          <t>2026-10-20</t>
        </is>
      </c>
      <c r="C252" s="10" t="n">
        <v>8</v>
      </c>
      <c r="D252" s="10" t="n">
        <v>2</v>
      </c>
      <c r="E252" s="9" t="inlineStr">
        <is>
          <t>Month 2</t>
        </is>
      </c>
      <c r="F252" s="9" t="inlineStr">
        <is>
          <t>PyTorch</t>
        </is>
      </c>
      <c r="G252" s="9" t="inlineStr">
        <is>
          <t>Basics</t>
        </is>
      </c>
      <c r="H252" s="9" t="inlineStr">
        <is>
          <t>Model</t>
        </is>
      </c>
      <c r="I252" s="9" t="inlineStr">
        <is>
          <t>Master Model</t>
        </is>
      </c>
      <c r="J252" s="9" t="inlineStr">
        <is>
          <t>45 min</t>
        </is>
      </c>
      <c r="K252" s="9" t="inlineStr">
        <is>
          <t>45 min</t>
        </is>
      </c>
      <c r="L252" s="9" t="inlineStr">
        <is>
          <t>Code/Implement Model</t>
        </is>
      </c>
      <c r="M252" s="9" t="inlineStr">
        <is>
          <t>15 min</t>
        </is>
      </c>
      <c r="N252" s="9" t="inlineStr">
        <is>
          <t>How do you implement Model in PyTorch?</t>
        </is>
      </c>
      <c r="O252" s="9" t="inlineStr">
        <is>
          <t>15 min</t>
        </is>
      </c>
      <c r="P252" s="9" t="inlineStr">
        <is>
          <t>Describe the PyTorch syntax for Model.</t>
        </is>
      </c>
      <c r="Q252" s="9" t="inlineStr">
        <is>
          <t>Build/Refine code</t>
        </is>
      </c>
      <c r="R252" s="9" t="n">
        <v>12</v>
      </c>
      <c r="S252" s="10" t="inlineStr">
        <is>
          <t>☐ Not Started</t>
        </is>
      </c>
      <c r="T252" s="10">
        <f>IF(S252="☑ Completed", "COMPLETED", "NOT STARTED")</f>
        <v/>
      </c>
      <c r="U252" s="9" t="inlineStr">
        <is>
          <t>Review Notes for Day 51</t>
        </is>
      </c>
    </row>
    <row r="253">
      <c r="A253" s="10" t="n">
        <v>51</v>
      </c>
      <c r="B253" s="10" t="inlineStr">
        <is>
          <t>2026-10-20</t>
        </is>
      </c>
      <c r="C253" s="10" t="n">
        <v>8</v>
      </c>
      <c r="D253" s="10" t="n">
        <v>2</v>
      </c>
      <c r="E253" s="9" t="inlineStr">
        <is>
          <t>Month 2</t>
        </is>
      </c>
      <c r="F253" s="9" t="inlineStr">
        <is>
          <t>PyTorch</t>
        </is>
      </c>
      <c r="G253" s="9" t="inlineStr">
        <is>
          <t>Basics</t>
        </is>
      </c>
      <c r="H253" s="9" t="inlineStr">
        <is>
          <t>nn.Module</t>
        </is>
      </c>
      <c r="I253" s="9" t="inlineStr">
        <is>
          <t>Master nn.Module</t>
        </is>
      </c>
      <c r="J253" s="9" t="inlineStr">
        <is>
          <t>30 min</t>
        </is>
      </c>
      <c r="K253" s="9" t="inlineStr">
        <is>
          <t>30 min</t>
        </is>
      </c>
      <c r="L253" s="9" t="inlineStr">
        <is>
          <t>Code/Implement nn.Module</t>
        </is>
      </c>
      <c r="M253" s="9" t="inlineStr">
        <is>
          <t>15 min</t>
        </is>
      </c>
      <c r="N253" s="9" t="inlineStr">
        <is>
          <t>How do you implement nn.Module in PyTorch?</t>
        </is>
      </c>
      <c r="O253" s="9" t="inlineStr">
        <is>
          <t>15 min</t>
        </is>
      </c>
      <c r="P253" s="9" t="inlineStr">
        <is>
          <t>Describe the PyTorch syntax for nn.Module.</t>
        </is>
      </c>
      <c r="Q253" s="9" t="inlineStr">
        <is>
          <t>Build/Refine code</t>
        </is>
      </c>
      <c r="R253" s="9" t="inlineStr">
        <is>
          <t>-</t>
        </is>
      </c>
      <c r="S253" s="10" t="inlineStr">
        <is>
          <t>☐ Not Started</t>
        </is>
      </c>
      <c r="T253" s="10">
        <f>IF(S253="☑ Completed", "COMPLETED", "NOT STARTED")</f>
        <v/>
      </c>
      <c r="U253" s="9" t="inlineStr">
        <is>
          <t>Review Notes for Day 51</t>
        </is>
      </c>
    </row>
    <row r="254">
      <c r="A254" s="10" t="n">
        <v>51</v>
      </c>
      <c r="B254" s="10" t="inlineStr">
        <is>
          <t>2026-10-20</t>
        </is>
      </c>
      <c r="C254" s="10" t="n">
        <v>8</v>
      </c>
      <c r="D254" s="10" t="n">
        <v>2</v>
      </c>
      <c r="E254" s="9" t="inlineStr">
        <is>
          <t>Month 2</t>
        </is>
      </c>
      <c r="F254" s="9" t="inlineStr">
        <is>
          <t>PyTorch</t>
        </is>
      </c>
      <c r="G254" s="9" t="inlineStr">
        <is>
          <t>Basics</t>
        </is>
      </c>
      <c r="H254" s="9" t="inlineStr">
        <is>
          <t>Forward method</t>
        </is>
      </c>
      <c r="I254" s="9" t="inlineStr">
        <is>
          <t>Master Forward method</t>
        </is>
      </c>
      <c r="J254" s="9" t="inlineStr">
        <is>
          <t>30 min</t>
        </is>
      </c>
      <c r="K254" s="9" t="inlineStr">
        <is>
          <t>30 min</t>
        </is>
      </c>
      <c r="L254" s="9" t="inlineStr">
        <is>
          <t>Code/Implement Forward method</t>
        </is>
      </c>
      <c r="M254" s="9" t="inlineStr">
        <is>
          <t>15 min</t>
        </is>
      </c>
      <c r="N254" s="9" t="inlineStr">
        <is>
          <t>How do you implement Forward method in PyTorch?</t>
        </is>
      </c>
      <c r="O254" s="9" t="inlineStr">
        <is>
          <t>15 min</t>
        </is>
      </c>
      <c r="P254" s="9" t="inlineStr">
        <is>
          <t>Describe the PyTorch syntax for Forward method.</t>
        </is>
      </c>
      <c r="Q254" s="9" t="inlineStr">
        <is>
          <t>Build/Refine code</t>
        </is>
      </c>
      <c r="R254" s="9" t="inlineStr">
        <is>
          <t>-</t>
        </is>
      </c>
      <c r="S254" s="10" t="inlineStr">
        <is>
          <t>☐ Not Started</t>
        </is>
      </c>
      <c r="T254" s="10">
        <f>IF(S254="☑ Completed", "COMPLETED", "NOT STARTED")</f>
        <v/>
      </c>
      <c r="U254" s="9" t="inlineStr">
        <is>
          <t>Review Notes for Day 51</t>
        </is>
      </c>
    </row>
    <row r="255">
      <c r="A255" s="10" t="n">
        <v>51</v>
      </c>
      <c r="B255" s="10" t="inlineStr">
        <is>
          <t>2026-10-20</t>
        </is>
      </c>
      <c r="C255" s="10" t="n">
        <v>8</v>
      </c>
      <c r="D255" s="10" t="n">
        <v>2</v>
      </c>
      <c r="E255" s="9" t="inlineStr">
        <is>
          <t>Month 2</t>
        </is>
      </c>
      <c r="F255" s="9" t="inlineStr">
        <is>
          <t>PyTorch</t>
        </is>
      </c>
      <c r="G255" s="9" t="inlineStr">
        <is>
          <t>Basics</t>
        </is>
      </c>
      <c r="H255" s="9" t="inlineStr">
        <is>
          <t>Loss</t>
        </is>
      </c>
      <c r="I255" s="9" t="inlineStr">
        <is>
          <t>Master Loss</t>
        </is>
      </c>
      <c r="J255" s="9" t="inlineStr">
        <is>
          <t>30 min</t>
        </is>
      </c>
      <c r="K255" s="9" t="inlineStr">
        <is>
          <t>30 min</t>
        </is>
      </c>
      <c r="L255" s="9" t="inlineStr">
        <is>
          <t>Code/Implement Loss</t>
        </is>
      </c>
      <c r="M255" s="9" t="inlineStr">
        <is>
          <t>15 min</t>
        </is>
      </c>
      <c r="N255" s="9" t="inlineStr">
        <is>
          <t>How do you implement Loss in PyTorch?</t>
        </is>
      </c>
      <c r="O255" s="9" t="inlineStr">
        <is>
          <t>15 min</t>
        </is>
      </c>
      <c r="P255" s="9" t="inlineStr">
        <is>
          <t>Describe the PyTorch syntax for Loss.</t>
        </is>
      </c>
      <c r="Q255" s="9" t="inlineStr">
        <is>
          <t>Build/Refine code</t>
        </is>
      </c>
      <c r="R255" s="9" t="inlineStr">
        <is>
          <t>-</t>
        </is>
      </c>
      <c r="S255" s="10" t="inlineStr">
        <is>
          <t>☐ Not Started</t>
        </is>
      </c>
      <c r="T255" s="10">
        <f>IF(S255="☑ Completed", "COMPLETED", "NOT STARTED")</f>
        <v/>
      </c>
      <c r="U255" s="9" t="inlineStr">
        <is>
          <t>Review Notes for Day 51</t>
        </is>
      </c>
    </row>
    <row r="256">
      <c r="A256" s="10" t="n">
        <v>51</v>
      </c>
      <c r="B256" s="10" t="inlineStr">
        <is>
          <t>2026-10-20</t>
        </is>
      </c>
      <c r="C256" s="10" t="n">
        <v>8</v>
      </c>
      <c r="D256" s="10" t="n">
        <v>2</v>
      </c>
      <c r="E256" s="9" t="inlineStr">
        <is>
          <t>Month 2</t>
        </is>
      </c>
      <c r="F256" s="9" t="inlineStr">
        <is>
          <t>PyTorch</t>
        </is>
      </c>
      <c r="G256" s="9" t="inlineStr">
        <is>
          <t>Basics</t>
        </is>
      </c>
      <c r="H256" s="9" t="inlineStr">
        <is>
          <t>Optimizer</t>
        </is>
      </c>
      <c r="I256" s="9" t="inlineStr">
        <is>
          <t>Master Optimizer</t>
        </is>
      </c>
      <c r="J256" s="9" t="inlineStr">
        <is>
          <t>30 min</t>
        </is>
      </c>
      <c r="K256" s="9" t="inlineStr">
        <is>
          <t>30 min</t>
        </is>
      </c>
      <c r="L256" s="9" t="inlineStr">
        <is>
          <t>Code/Implement Optimizer</t>
        </is>
      </c>
      <c r="M256" s="9" t="inlineStr">
        <is>
          <t>15 min</t>
        </is>
      </c>
      <c r="N256" s="9" t="inlineStr">
        <is>
          <t>How do you implement Optimizer in PyTorch?</t>
        </is>
      </c>
      <c r="O256" s="9" t="inlineStr">
        <is>
          <t>15 min</t>
        </is>
      </c>
      <c r="P256" s="9" t="inlineStr">
        <is>
          <t>Describe the PyTorch syntax for Optimizer.</t>
        </is>
      </c>
      <c r="Q256" s="9" t="inlineStr">
        <is>
          <t>Build/Refine code</t>
        </is>
      </c>
      <c r="R256" s="9" t="inlineStr">
        <is>
          <t>-</t>
        </is>
      </c>
      <c r="S256" s="10" t="inlineStr">
        <is>
          <t>☐ Not Started</t>
        </is>
      </c>
      <c r="T256" s="10">
        <f>IF(S256="☑ Completed", "COMPLETED", "NOT STARTED")</f>
        <v/>
      </c>
      <c r="U256" s="9" t="inlineStr">
        <is>
          <t>Review Notes for Day 51</t>
        </is>
      </c>
    </row>
    <row r="257">
      <c r="A257" s="10" t="n">
        <v>52</v>
      </c>
      <c r="B257" s="10" t="inlineStr">
        <is>
          <t>2026-10-21</t>
        </is>
      </c>
      <c r="C257" s="10" t="n">
        <v>8</v>
      </c>
      <c r="D257" s="10" t="n">
        <v>2</v>
      </c>
      <c r="E257" s="9" t="inlineStr">
        <is>
          <t>Month 2</t>
        </is>
      </c>
      <c r="F257" s="9" t="inlineStr">
        <is>
          <t>PyTorch</t>
        </is>
      </c>
      <c r="G257" s="9" t="inlineStr">
        <is>
          <t>Basics</t>
        </is>
      </c>
      <c r="H257" s="9" t="inlineStr">
        <is>
          <t>Training loop</t>
        </is>
      </c>
      <c r="I257" s="9" t="inlineStr">
        <is>
          <t>Master Training loop</t>
        </is>
      </c>
      <c r="J257" s="9" t="inlineStr">
        <is>
          <t>45 min</t>
        </is>
      </c>
      <c r="K257" s="9" t="inlineStr">
        <is>
          <t>45 min</t>
        </is>
      </c>
      <c r="L257" s="9" t="inlineStr">
        <is>
          <t>Code/Implement Training loop</t>
        </is>
      </c>
      <c r="M257" s="9" t="inlineStr">
        <is>
          <t>15 min</t>
        </is>
      </c>
      <c r="N257" s="9" t="inlineStr">
        <is>
          <t>How do you implement Training loop in PyTorch?</t>
        </is>
      </c>
      <c r="O257" s="9" t="inlineStr">
        <is>
          <t>15 min</t>
        </is>
      </c>
      <c r="P257" s="9" t="inlineStr">
        <is>
          <t>Describe the PyTorch syntax for Training loop.</t>
        </is>
      </c>
      <c r="Q257" s="9" t="inlineStr">
        <is>
          <t>Build/Refine code</t>
        </is>
      </c>
      <c r="R257" s="9" t="n">
        <v>12</v>
      </c>
      <c r="S257" s="10" t="inlineStr">
        <is>
          <t>☐ Not Started</t>
        </is>
      </c>
      <c r="T257" s="10">
        <f>IF(S257="☑ Completed", "COMPLETED", "NOT STARTED")</f>
        <v/>
      </c>
      <c r="U257" s="9" t="inlineStr">
        <is>
          <t>Review Notes for Day 52</t>
        </is>
      </c>
    </row>
    <row r="258">
      <c r="A258" s="10" t="n">
        <v>52</v>
      </c>
      <c r="B258" s="10" t="inlineStr">
        <is>
          <t>2026-10-21</t>
        </is>
      </c>
      <c r="C258" s="10" t="n">
        <v>8</v>
      </c>
      <c r="D258" s="10" t="n">
        <v>2</v>
      </c>
      <c r="E258" s="9" t="inlineStr">
        <is>
          <t>Month 2</t>
        </is>
      </c>
      <c r="F258" s="9" t="inlineStr">
        <is>
          <t>PyTorch</t>
        </is>
      </c>
      <c r="G258" s="9" t="inlineStr">
        <is>
          <t>Basics</t>
        </is>
      </c>
      <c r="H258" s="9" t="inlineStr">
        <is>
          <t>Validation loop</t>
        </is>
      </c>
      <c r="I258" s="9" t="inlineStr">
        <is>
          <t>Master Validation loop</t>
        </is>
      </c>
      <c r="J258" s="9" t="inlineStr">
        <is>
          <t>30 min</t>
        </is>
      </c>
      <c r="K258" s="9" t="inlineStr">
        <is>
          <t>30 min</t>
        </is>
      </c>
      <c r="L258" s="9" t="inlineStr">
        <is>
          <t>Code/Implement Validation loop</t>
        </is>
      </c>
      <c r="M258" s="9" t="inlineStr">
        <is>
          <t>15 min</t>
        </is>
      </c>
      <c r="N258" s="9" t="inlineStr">
        <is>
          <t>How do you implement Validation loop in PyTorch?</t>
        </is>
      </c>
      <c r="O258" s="9" t="inlineStr">
        <is>
          <t>15 min</t>
        </is>
      </c>
      <c r="P258" s="9" t="inlineStr">
        <is>
          <t>Describe the PyTorch syntax for Validation loop.</t>
        </is>
      </c>
      <c r="Q258" s="9" t="inlineStr">
        <is>
          <t>Build/Refine code</t>
        </is>
      </c>
      <c r="R258" s="9" t="inlineStr">
        <is>
          <t>-</t>
        </is>
      </c>
      <c r="S258" s="10" t="inlineStr">
        <is>
          <t>☐ Not Started</t>
        </is>
      </c>
      <c r="T258" s="10">
        <f>IF(S258="☑ Completed", "COMPLETED", "NOT STARTED")</f>
        <v/>
      </c>
      <c r="U258" s="9" t="inlineStr">
        <is>
          <t>Review Notes for Day 52</t>
        </is>
      </c>
    </row>
    <row r="259">
      <c r="A259" s="10" t="n">
        <v>52</v>
      </c>
      <c r="B259" s="10" t="inlineStr">
        <is>
          <t>2026-10-21</t>
        </is>
      </c>
      <c r="C259" s="10" t="n">
        <v>8</v>
      </c>
      <c r="D259" s="10" t="n">
        <v>2</v>
      </c>
      <c r="E259" s="9" t="inlineStr">
        <is>
          <t>Month 2</t>
        </is>
      </c>
      <c r="F259" s="9" t="inlineStr">
        <is>
          <t>PyTorch</t>
        </is>
      </c>
      <c r="G259" s="9" t="inlineStr">
        <is>
          <t>Basics</t>
        </is>
      </c>
      <c r="H259" s="9" t="inlineStr">
        <is>
          <t>Model saving</t>
        </is>
      </c>
      <c r="I259" s="9" t="inlineStr">
        <is>
          <t>Master Model saving</t>
        </is>
      </c>
      <c r="J259" s="9" t="inlineStr">
        <is>
          <t>30 min</t>
        </is>
      </c>
      <c r="K259" s="9" t="inlineStr">
        <is>
          <t>30 min</t>
        </is>
      </c>
      <c r="L259" s="9" t="inlineStr">
        <is>
          <t>Code/Implement Model saving</t>
        </is>
      </c>
      <c r="M259" s="9" t="inlineStr">
        <is>
          <t>15 min</t>
        </is>
      </c>
      <c r="N259" s="9" t="inlineStr">
        <is>
          <t>How do you implement Model saving in PyTorch?</t>
        </is>
      </c>
      <c r="O259" s="9" t="inlineStr">
        <is>
          <t>15 min</t>
        </is>
      </c>
      <c r="P259" s="9" t="inlineStr">
        <is>
          <t>Describe the PyTorch syntax for Model saving.</t>
        </is>
      </c>
      <c r="Q259" s="9" t="inlineStr">
        <is>
          <t>Build/Refine code</t>
        </is>
      </c>
      <c r="R259" s="9" t="inlineStr">
        <is>
          <t>-</t>
        </is>
      </c>
      <c r="S259" s="10" t="inlineStr">
        <is>
          <t>☐ Not Started</t>
        </is>
      </c>
      <c r="T259" s="10">
        <f>IF(S259="☑ Completed", "COMPLETED", "NOT STARTED")</f>
        <v/>
      </c>
      <c r="U259" s="9" t="inlineStr">
        <is>
          <t>Review Notes for Day 52</t>
        </is>
      </c>
    </row>
    <row r="260">
      <c r="A260" s="10" t="n">
        <v>52</v>
      </c>
      <c r="B260" s="10" t="inlineStr">
        <is>
          <t>2026-10-21</t>
        </is>
      </c>
      <c r="C260" s="10" t="n">
        <v>8</v>
      </c>
      <c r="D260" s="10" t="n">
        <v>2</v>
      </c>
      <c r="E260" s="9" t="inlineStr">
        <is>
          <t>Month 2</t>
        </is>
      </c>
      <c r="F260" s="9" t="inlineStr">
        <is>
          <t>PyTorch</t>
        </is>
      </c>
      <c r="G260" s="9" t="inlineStr">
        <is>
          <t>Basics</t>
        </is>
      </c>
      <c r="H260" s="9" t="inlineStr">
        <is>
          <t>Model loading</t>
        </is>
      </c>
      <c r="I260" s="9" t="inlineStr">
        <is>
          <t>Master Model loading</t>
        </is>
      </c>
      <c r="J260" s="9" t="inlineStr">
        <is>
          <t>30 min</t>
        </is>
      </c>
      <c r="K260" s="9" t="inlineStr">
        <is>
          <t>30 min</t>
        </is>
      </c>
      <c r="L260" s="9" t="inlineStr">
        <is>
          <t>Code/Implement Model loading</t>
        </is>
      </c>
      <c r="M260" s="9" t="inlineStr">
        <is>
          <t>15 min</t>
        </is>
      </c>
      <c r="N260" s="9" t="inlineStr">
        <is>
          <t>How do you implement Model loading in PyTorch?</t>
        </is>
      </c>
      <c r="O260" s="9" t="inlineStr">
        <is>
          <t>15 min</t>
        </is>
      </c>
      <c r="P260" s="9" t="inlineStr">
        <is>
          <t>Describe the PyTorch syntax for Model loading.</t>
        </is>
      </c>
      <c r="Q260" s="9" t="inlineStr">
        <is>
          <t>Build/Refine code</t>
        </is>
      </c>
      <c r="R260" s="9" t="inlineStr">
        <is>
          <t>-</t>
        </is>
      </c>
      <c r="S260" s="10" t="inlineStr">
        <is>
          <t>☐ Not Started</t>
        </is>
      </c>
      <c r="T260" s="10">
        <f>IF(S260="☑ Completed", "COMPLETED", "NOT STARTED")</f>
        <v/>
      </c>
      <c r="U260" s="9" t="inlineStr">
        <is>
          <t>Review Notes for Day 52</t>
        </is>
      </c>
    </row>
    <row r="261">
      <c r="A261" s="10" t="n">
        <v>52</v>
      </c>
      <c r="B261" s="10" t="inlineStr">
        <is>
          <t>2026-10-21</t>
        </is>
      </c>
      <c r="C261" s="10" t="n">
        <v>8</v>
      </c>
      <c r="D261" s="10" t="n">
        <v>2</v>
      </c>
      <c r="E261" s="9" t="inlineStr">
        <is>
          <t>Month 2</t>
        </is>
      </c>
      <c r="F261" s="9" t="inlineStr">
        <is>
          <t>TensorFlow</t>
        </is>
      </c>
      <c r="G261" s="9" t="inlineStr">
        <is>
          <t>Keras</t>
        </is>
      </c>
      <c r="H261" s="9" t="inlineStr">
        <is>
          <t>TensorFlow basics</t>
        </is>
      </c>
      <c r="I261" s="9" t="inlineStr">
        <is>
          <t>Master TensorFlow basics</t>
        </is>
      </c>
      <c r="J261" s="9" t="inlineStr">
        <is>
          <t>30 min</t>
        </is>
      </c>
      <c r="K261" s="9" t="inlineStr">
        <is>
          <t>30 min</t>
        </is>
      </c>
      <c r="L261" s="9" t="inlineStr">
        <is>
          <t>Code/Implement TensorFlow basics</t>
        </is>
      </c>
      <c r="M261" s="9" t="inlineStr">
        <is>
          <t>15 min</t>
        </is>
      </c>
      <c r="N261" s="9" t="inlineStr">
        <is>
          <t>What is the purpose of TensorFlow basics in Keras?</t>
        </is>
      </c>
      <c r="O261" s="9" t="inlineStr">
        <is>
          <t>15 min</t>
        </is>
      </c>
      <c r="P261" s="9" t="inlineStr">
        <is>
          <t>Compare Keras TensorFlow basics with PyTorch equivalent.</t>
        </is>
      </c>
      <c r="Q261" s="9" t="inlineStr">
        <is>
          <t>Build/Refine code</t>
        </is>
      </c>
      <c r="R261" s="9" t="inlineStr">
        <is>
          <t>-</t>
        </is>
      </c>
      <c r="S261" s="10" t="inlineStr">
        <is>
          <t>☐ Not Started</t>
        </is>
      </c>
      <c r="T261" s="10">
        <f>IF(S261="☑ Completed", "COMPLETED", "NOT STARTED")</f>
        <v/>
      </c>
      <c r="U261" s="9" t="inlineStr">
        <is>
          <t>Review Notes for Day 52</t>
        </is>
      </c>
    </row>
    <row r="262">
      <c r="A262" s="10" t="n">
        <v>53</v>
      </c>
      <c r="B262" s="10" t="inlineStr">
        <is>
          <t>2026-10-22</t>
        </is>
      </c>
      <c r="C262" s="10" t="n">
        <v>8</v>
      </c>
      <c r="D262" s="10" t="n">
        <v>2</v>
      </c>
      <c r="E262" s="9" t="inlineStr">
        <is>
          <t>Month 2</t>
        </is>
      </c>
      <c r="F262" s="9" t="inlineStr">
        <is>
          <t>TensorFlow</t>
        </is>
      </c>
      <c r="G262" s="9" t="inlineStr">
        <is>
          <t>Keras</t>
        </is>
      </c>
      <c r="H262" s="9" t="inlineStr">
        <is>
          <t>Keras model</t>
        </is>
      </c>
      <c r="I262" s="9" t="inlineStr">
        <is>
          <t>Master Keras model</t>
        </is>
      </c>
      <c r="J262" s="9" t="inlineStr">
        <is>
          <t>45 min</t>
        </is>
      </c>
      <c r="K262" s="9" t="inlineStr">
        <is>
          <t>45 min</t>
        </is>
      </c>
      <c r="L262" s="9" t="inlineStr">
        <is>
          <t>Code/Implement Keras model</t>
        </is>
      </c>
      <c r="M262" s="9" t="inlineStr">
        <is>
          <t>15 min</t>
        </is>
      </c>
      <c r="N262" s="9" t="inlineStr">
        <is>
          <t>What is the purpose of Keras model in Keras?</t>
        </is>
      </c>
      <c r="O262" s="9" t="inlineStr">
        <is>
          <t>15 min</t>
        </is>
      </c>
      <c r="P262" s="9" t="inlineStr">
        <is>
          <t>Compare Keras Keras model with PyTorch equivalent.</t>
        </is>
      </c>
      <c r="Q262" s="9" t="inlineStr">
        <is>
          <t>Build/Refine code</t>
        </is>
      </c>
      <c r="R262" s="9" t="n">
        <v>12</v>
      </c>
      <c r="S262" s="10" t="inlineStr">
        <is>
          <t>☐ Not Started</t>
        </is>
      </c>
      <c r="T262" s="10">
        <f>IF(S262="☑ Completed", "COMPLETED", "NOT STARTED")</f>
        <v/>
      </c>
      <c r="U262" s="9" t="inlineStr">
        <is>
          <t>Review Notes for Day 53</t>
        </is>
      </c>
    </row>
    <row r="263">
      <c r="A263" s="10" t="n">
        <v>53</v>
      </c>
      <c r="B263" s="10" t="inlineStr">
        <is>
          <t>2026-10-22</t>
        </is>
      </c>
      <c r="C263" s="10" t="n">
        <v>8</v>
      </c>
      <c r="D263" s="10" t="n">
        <v>2</v>
      </c>
      <c r="E263" s="9" t="inlineStr">
        <is>
          <t>Month 2</t>
        </is>
      </c>
      <c r="F263" s="9" t="inlineStr">
        <is>
          <t>TensorFlow</t>
        </is>
      </c>
      <c r="G263" s="9" t="inlineStr">
        <is>
          <t>Keras</t>
        </is>
      </c>
      <c r="H263" s="9" t="inlineStr">
        <is>
          <t>Sequential</t>
        </is>
      </c>
      <c r="I263" s="9" t="inlineStr">
        <is>
          <t>Master Sequential</t>
        </is>
      </c>
      <c r="J263" s="9" t="inlineStr">
        <is>
          <t>30 min</t>
        </is>
      </c>
      <c r="K263" s="9" t="inlineStr">
        <is>
          <t>30 min</t>
        </is>
      </c>
      <c r="L263" s="9" t="inlineStr">
        <is>
          <t>Code/Implement Sequential</t>
        </is>
      </c>
      <c r="M263" s="9" t="inlineStr">
        <is>
          <t>15 min</t>
        </is>
      </c>
      <c r="N263" s="9" t="inlineStr">
        <is>
          <t>What is the purpose of Sequential in Keras?</t>
        </is>
      </c>
      <c r="O263" s="9" t="inlineStr">
        <is>
          <t>15 min</t>
        </is>
      </c>
      <c r="P263" s="9" t="inlineStr">
        <is>
          <t>Compare Keras Sequential with PyTorch equivalent.</t>
        </is>
      </c>
      <c r="Q263" s="9" t="inlineStr">
        <is>
          <t>Build/Refine code</t>
        </is>
      </c>
      <c r="R263" s="9" t="inlineStr">
        <is>
          <t>-</t>
        </is>
      </c>
      <c r="S263" s="10" t="inlineStr">
        <is>
          <t>☐ Not Started</t>
        </is>
      </c>
      <c r="T263" s="10">
        <f>IF(S263="☑ Completed", "COMPLETED", "NOT STARTED")</f>
        <v/>
      </c>
      <c r="U263" s="9" t="inlineStr">
        <is>
          <t>Review Notes for Day 53</t>
        </is>
      </c>
    </row>
    <row r="264">
      <c r="A264" s="10" t="n">
        <v>53</v>
      </c>
      <c r="B264" s="10" t="inlineStr">
        <is>
          <t>2026-10-22</t>
        </is>
      </c>
      <c r="C264" s="10" t="n">
        <v>8</v>
      </c>
      <c r="D264" s="10" t="n">
        <v>2</v>
      </c>
      <c r="E264" s="9" t="inlineStr">
        <is>
          <t>Month 2</t>
        </is>
      </c>
      <c r="F264" s="9" t="inlineStr">
        <is>
          <t>TensorFlow</t>
        </is>
      </c>
      <c r="G264" s="9" t="inlineStr">
        <is>
          <t>Keras</t>
        </is>
      </c>
      <c r="H264" s="9" t="inlineStr">
        <is>
          <t>Dense</t>
        </is>
      </c>
      <c r="I264" s="9" t="inlineStr">
        <is>
          <t>Master Dense</t>
        </is>
      </c>
      <c r="J264" s="9" t="inlineStr">
        <is>
          <t>30 min</t>
        </is>
      </c>
      <c r="K264" s="9" t="inlineStr">
        <is>
          <t>30 min</t>
        </is>
      </c>
      <c r="L264" s="9" t="inlineStr">
        <is>
          <t>Code/Implement Dense</t>
        </is>
      </c>
      <c r="M264" s="9" t="inlineStr">
        <is>
          <t>15 min</t>
        </is>
      </c>
      <c r="N264" s="9" t="inlineStr">
        <is>
          <t>What is the purpose of Dense in Keras?</t>
        </is>
      </c>
      <c r="O264" s="9" t="inlineStr">
        <is>
          <t>15 min</t>
        </is>
      </c>
      <c r="P264" s="9" t="inlineStr">
        <is>
          <t>Compare Keras Dense with PyTorch equivalent.</t>
        </is>
      </c>
      <c r="Q264" s="9" t="inlineStr">
        <is>
          <t>Build/Refine code</t>
        </is>
      </c>
      <c r="R264" s="9" t="inlineStr">
        <is>
          <t>-</t>
        </is>
      </c>
      <c r="S264" s="10" t="inlineStr">
        <is>
          <t>☐ Not Started</t>
        </is>
      </c>
      <c r="T264" s="10">
        <f>IF(S264="☑ Completed", "COMPLETED", "NOT STARTED")</f>
        <v/>
      </c>
      <c r="U264" s="9" t="inlineStr">
        <is>
          <t>Review Notes for Day 53</t>
        </is>
      </c>
    </row>
    <row r="265">
      <c r="A265" s="10" t="n">
        <v>53</v>
      </c>
      <c r="B265" s="10" t="inlineStr">
        <is>
          <t>2026-10-22</t>
        </is>
      </c>
      <c r="C265" s="10" t="n">
        <v>8</v>
      </c>
      <c r="D265" s="10" t="n">
        <v>2</v>
      </c>
      <c r="E265" s="9" t="inlineStr">
        <is>
          <t>Month 2</t>
        </is>
      </c>
      <c r="F265" s="9" t="inlineStr">
        <is>
          <t>TensorFlow</t>
        </is>
      </c>
      <c r="G265" s="9" t="inlineStr">
        <is>
          <t>Keras</t>
        </is>
      </c>
      <c r="H265" s="9" t="inlineStr">
        <is>
          <t>Compile</t>
        </is>
      </c>
      <c r="I265" s="9" t="inlineStr">
        <is>
          <t>Master Compile</t>
        </is>
      </c>
      <c r="J265" s="9" t="inlineStr">
        <is>
          <t>30 min</t>
        </is>
      </c>
      <c r="K265" s="9" t="inlineStr">
        <is>
          <t>30 min</t>
        </is>
      </c>
      <c r="L265" s="9" t="inlineStr">
        <is>
          <t>Code/Implement Compile</t>
        </is>
      </c>
      <c r="M265" s="9" t="inlineStr">
        <is>
          <t>15 min</t>
        </is>
      </c>
      <c r="N265" s="9" t="inlineStr">
        <is>
          <t>What is the purpose of Compile in Keras?</t>
        </is>
      </c>
      <c r="O265" s="9" t="inlineStr">
        <is>
          <t>15 min</t>
        </is>
      </c>
      <c r="P265" s="9" t="inlineStr">
        <is>
          <t>Compare Keras Compile with PyTorch equivalent.</t>
        </is>
      </c>
      <c r="Q265" s="9" t="inlineStr">
        <is>
          <t>Build/Refine code</t>
        </is>
      </c>
      <c r="R265" s="9" t="inlineStr">
        <is>
          <t>-</t>
        </is>
      </c>
      <c r="S265" s="10" t="inlineStr">
        <is>
          <t>☐ Not Started</t>
        </is>
      </c>
      <c r="T265" s="10">
        <f>IF(S265="☑ Completed", "COMPLETED", "NOT STARTED")</f>
        <v/>
      </c>
      <c r="U265" s="9" t="inlineStr">
        <is>
          <t>Review Notes for Day 53</t>
        </is>
      </c>
    </row>
    <row r="266">
      <c r="A266" s="10" t="n">
        <v>53</v>
      </c>
      <c r="B266" s="10" t="inlineStr">
        <is>
          <t>2026-10-22</t>
        </is>
      </c>
      <c r="C266" s="10" t="n">
        <v>8</v>
      </c>
      <c r="D266" s="10" t="n">
        <v>2</v>
      </c>
      <c r="E266" s="9" t="inlineStr">
        <is>
          <t>Month 2</t>
        </is>
      </c>
      <c r="F266" s="9" t="inlineStr">
        <is>
          <t>TensorFlow</t>
        </is>
      </c>
      <c r="G266" s="9" t="inlineStr">
        <is>
          <t>Keras</t>
        </is>
      </c>
      <c r="H266" s="9" t="inlineStr">
        <is>
          <t>Fit</t>
        </is>
      </c>
      <c r="I266" s="9" t="inlineStr">
        <is>
          <t>Master Fit</t>
        </is>
      </c>
      <c r="J266" s="9" t="inlineStr">
        <is>
          <t>30 min</t>
        </is>
      </c>
      <c r="K266" s="9" t="inlineStr">
        <is>
          <t>30 min</t>
        </is>
      </c>
      <c r="L266" s="9" t="inlineStr">
        <is>
          <t>Code/Implement Fit</t>
        </is>
      </c>
      <c r="M266" s="9" t="inlineStr">
        <is>
          <t>15 min</t>
        </is>
      </c>
      <c r="N266" s="9" t="inlineStr">
        <is>
          <t>What is the purpose of Fit in Keras?</t>
        </is>
      </c>
      <c r="O266" s="9" t="inlineStr">
        <is>
          <t>15 min</t>
        </is>
      </c>
      <c r="P266" s="9" t="inlineStr">
        <is>
          <t>Compare Keras Fit with PyTorch equivalent.</t>
        </is>
      </c>
      <c r="Q266" s="9" t="inlineStr">
        <is>
          <t>Build/Refine code</t>
        </is>
      </c>
      <c r="R266" s="9" t="inlineStr">
        <is>
          <t>-</t>
        </is>
      </c>
      <c r="S266" s="10" t="inlineStr">
        <is>
          <t>☐ Not Started</t>
        </is>
      </c>
      <c r="T266" s="10">
        <f>IF(S266="☑ Completed", "COMPLETED", "NOT STARTED")</f>
        <v/>
      </c>
      <c r="U266" s="9" t="inlineStr">
        <is>
          <t>Review Notes for Day 53</t>
        </is>
      </c>
    </row>
    <row r="267">
      <c r="A267" s="10" t="n">
        <v>54</v>
      </c>
      <c r="B267" s="10" t="inlineStr">
        <is>
          <t>2026-10-23</t>
        </is>
      </c>
      <c r="C267" s="10" t="n">
        <v>8</v>
      </c>
      <c r="D267" s="10" t="n">
        <v>2</v>
      </c>
      <c r="E267" s="9" t="inlineStr">
        <is>
          <t>Month 2</t>
        </is>
      </c>
      <c r="F267" s="9" t="inlineStr">
        <is>
          <t>TensorFlow</t>
        </is>
      </c>
      <c r="G267" s="9" t="inlineStr">
        <is>
          <t>Keras</t>
        </is>
      </c>
      <c r="H267" s="9" t="inlineStr">
        <is>
          <t>Evaluate</t>
        </is>
      </c>
      <c r="I267" s="9" t="inlineStr">
        <is>
          <t>Master Evaluate</t>
        </is>
      </c>
      <c r="J267" s="9" t="inlineStr">
        <is>
          <t>45 min</t>
        </is>
      </c>
      <c r="K267" s="9" t="inlineStr">
        <is>
          <t>45 min</t>
        </is>
      </c>
      <c r="L267" s="9" t="inlineStr">
        <is>
          <t>Code/Implement Evaluate</t>
        </is>
      </c>
      <c r="M267" s="9" t="inlineStr">
        <is>
          <t>15 min</t>
        </is>
      </c>
      <c r="N267" s="9" t="inlineStr">
        <is>
          <t>What is the purpose of Evaluate in Keras?</t>
        </is>
      </c>
      <c r="O267" s="9" t="inlineStr">
        <is>
          <t>15 min</t>
        </is>
      </c>
      <c r="P267" s="9" t="inlineStr">
        <is>
          <t>Compare Keras Evaluate with PyTorch equivalent.</t>
        </is>
      </c>
      <c r="Q267" s="9" t="inlineStr">
        <is>
          <t>Build/Refine code</t>
        </is>
      </c>
      <c r="R267" s="9" t="n">
        <v>12</v>
      </c>
      <c r="S267" s="10" t="inlineStr">
        <is>
          <t>☐ Not Started</t>
        </is>
      </c>
      <c r="T267" s="10">
        <f>IF(S267="☑ Completed", "COMPLETED", "NOT STARTED")</f>
        <v/>
      </c>
      <c r="U267" s="9" t="inlineStr">
        <is>
          <t>Review Notes for Day 54</t>
        </is>
      </c>
    </row>
    <row r="268">
      <c r="A268" s="10" t="n">
        <v>54</v>
      </c>
      <c r="B268" s="10" t="inlineStr">
        <is>
          <t>2026-10-23</t>
        </is>
      </c>
      <c r="C268" s="10" t="n">
        <v>8</v>
      </c>
      <c r="D268" s="10" t="n">
        <v>2</v>
      </c>
      <c r="E268" s="9" t="inlineStr">
        <is>
          <t>Month 2</t>
        </is>
      </c>
      <c r="F268" s="9" t="inlineStr">
        <is>
          <t>TensorFlow</t>
        </is>
      </c>
      <c r="G268" s="9" t="inlineStr">
        <is>
          <t>Keras</t>
        </is>
      </c>
      <c r="H268" s="9" t="inlineStr">
        <is>
          <t>Predict</t>
        </is>
      </c>
      <c r="I268" s="9" t="inlineStr">
        <is>
          <t>Master Predict</t>
        </is>
      </c>
      <c r="J268" s="9" t="inlineStr">
        <is>
          <t>30 min</t>
        </is>
      </c>
      <c r="K268" s="9" t="inlineStr">
        <is>
          <t>30 min</t>
        </is>
      </c>
      <c r="L268" s="9" t="inlineStr">
        <is>
          <t>Code/Implement Predict</t>
        </is>
      </c>
      <c r="M268" s="9" t="inlineStr">
        <is>
          <t>15 min</t>
        </is>
      </c>
      <c r="N268" s="9" t="inlineStr">
        <is>
          <t>What is the purpose of Predict in Keras?</t>
        </is>
      </c>
      <c r="O268" s="9" t="inlineStr">
        <is>
          <t>15 min</t>
        </is>
      </c>
      <c r="P268" s="9" t="inlineStr">
        <is>
          <t>Compare Keras Predict with PyTorch equivalent.</t>
        </is>
      </c>
      <c r="Q268" s="9" t="inlineStr">
        <is>
          <t>Build/Refine code</t>
        </is>
      </c>
      <c r="R268" s="9" t="inlineStr">
        <is>
          <t>-</t>
        </is>
      </c>
      <c r="S268" s="10" t="inlineStr">
        <is>
          <t>☐ Not Started</t>
        </is>
      </c>
      <c r="T268" s="10">
        <f>IF(S268="☑ Completed", "COMPLETED", "NOT STARTED")</f>
        <v/>
      </c>
      <c r="U268" s="9" t="inlineStr">
        <is>
          <t>Review Notes for Day 54</t>
        </is>
      </c>
    </row>
    <row r="269">
      <c r="A269" s="10" t="n">
        <v>54</v>
      </c>
      <c r="B269" s="10" t="inlineStr">
        <is>
          <t>2026-10-23</t>
        </is>
      </c>
      <c r="C269" s="10" t="n">
        <v>8</v>
      </c>
      <c r="D269" s="10" t="n">
        <v>2</v>
      </c>
      <c r="E269" s="9" t="inlineStr">
        <is>
          <t>Month 2</t>
        </is>
      </c>
      <c r="F269" s="9" t="inlineStr">
        <is>
          <t>Computer Vision</t>
        </is>
      </c>
      <c r="G269" s="9" t="inlineStr">
        <is>
          <t>CNN</t>
        </is>
      </c>
      <c r="H269" s="9" t="inlineStr">
        <is>
          <t>Image representation</t>
        </is>
      </c>
      <c r="I269" s="9" t="inlineStr">
        <is>
          <t>Master Image representation</t>
        </is>
      </c>
      <c r="J269" s="9" t="inlineStr">
        <is>
          <t>30 min</t>
        </is>
      </c>
      <c r="K269" s="9" t="inlineStr">
        <is>
          <t>30 min</t>
        </is>
      </c>
      <c r="L269" s="9" t="inlineStr">
        <is>
          <t>Code/Implement Image representation</t>
        </is>
      </c>
      <c r="M269" s="9" t="inlineStr">
        <is>
          <t>15 min</t>
        </is>
      </c>
      <c r="N269" s="9" t="inlineStr">
        <is>
          <t>Why is Image representation used instead of standard dense layers?</t>
        </is>
      </c>
      <c r="O269" s="9" t="inlineStr">
        <is>
          <t>15 min</t>
        </is>
      </c>
      <c r="P269" s="9" t="inlineStr">
        <is>
          <t>Explain how Image representation extracts features from an image.</t>
        </is>
      </c>
      <c r="Q269" s="9" t="inlineStr">
        <is>
          <t>Build/Refine code</t>
        </is>
      </c>
      <c r="R269" s="9" t="inlineStr">
        <is>
          <t>-</t>
        </is>
      </c>
      <c r="S269" s="10" t="inlineStr">
        <is>
          <t>☐ Not Started</t>
        </is>
      </c>
      <c r="T269" s="10">
        <f>IF(S269="☑ Completed", "COMPLETED", "NOT STARTED")</f>
        <v/>
      </c>
      <c r="U269" s="9" t="inlineStr">
        <is>
          <t>Review Notes for Day 54</t>
        </is>
      </c>
    </row>
    <row r="270">
      <c r="A270" s="10" t="n">
        <v>54</v>
      </c>
      <c r="B270" s="10" t="inlineStr">
        <is>
          <t>2026-10-23</t>
        </is>
      </c>
      <c r="C270" s="10" t="n">
        <v>8</v>
      </c>
      <c r="D270" s="10" t="n">
        <v>2</v>
      </c>
      <c r="E270" s="9" t="inlineStr">
        <is>
          <t>Month 2</t>
        </is>
      </c>
      <c r="F270" s="9" t="inlineStr">
        <is>
          <t>Computer Vision</t>
        </is>
      </c>
      <c r="G270" s="9" t="inlineStr">
        <is>
          <t>CNN</t>
        </is>
      </c>
      <c r="H270" s="9" t="inlineStr">
        <is>
          <t>Convolution</t>
        </is>
      </c>
      <c r="I270" s="9" t="inlineStr">
        <is>
          <t>Master Convolution</t>
        </is>
      </c>
      <c r="J270" s="9" t="inlineStr">
        <is>
          <t>30 min</t>
        </is>
      </c>
      <c r="K270" s="9" t="inlineStr">
        <is>
          <t>30 min</t>
        </is>
      </c>
      <c r="L270" s="9" t="inlineStr">
        <is>
          <t>Code/Implement Convolution</t>
        </is>
      </c>
      <c r="M270" s="9" t="inlineStr">
        <is>
          <t>15 min</t>
        </is>
      </c>
      <c r="N270" s="9" t="inlineStr">
        <is>
          <t>Why is Convolution used instead of standard dense layers?</t>
        </is>
      </c>
      <c r="O270" s="9" t="inlineStr">
        <is>
          <t>15 min</t>
        </is>
      </c>
      <c r="P270" s="9" t="inlineStr">
        <is>
          <t>Explain how Convolution extracts features from an image.</t>
        </is>
      </c>
      <c r="Q270" s="9" t="inlineStr">
        <is>
          <t>Build/Refine code</t>
        </is>
      </c>
      <c r="R270" s="9" t="inlineStr">
        <is>
          <t>-</t>
        </is>
      </c>
      <c r="S270" s="10" t="inlineStr">
        <is>
          <t>☐ Not Started</t>
        </is>
      </c>
      <c r="T270" s="10">
        <f>IF(S270="☑ Completed", "COMPLETED", "NOT STARTED")</f>
        <v/>
      </c>
      <c r="U270" s="9" t="inlineStr">
        <is>
          <t>Review Notes for Day 54</t>
        </is>
      </c>
    </row>
    <row r="271">
      <c r="A271" s="10" t="n">
        <v>54</v>
      </c>
      <c r="B271" s="10" t="inlineStr">
        <is>
          <t>2026-10-23</t>
        </is>
      </c>
      <c r="C271" s="10" t="n">
        <v>8</v>
      </c>
      <c r="D271" s="10" t="n">
        <v>2</v>
      </c>
      <c r="E271" s="9" t="inlineStr">
        <is>
          <t>Month 2</t>
        </is>
      </c>
      <c r="F271" s="9" t="inlineStr">
        <is>
          <t>Computer Vision</t>
        </is>
      </c>
      <c r="G271" s="9" t="inlineStr">
        <is>
          <t>CNN</t>
        </is>
      </c>
      <c r="H271" s="9" t="inlineStr">
        <is>
          <t>Filters</t>
        </is>
      </c>
      <c r="I271" s="9" t="inlineStr">
        <is>
          <t>Master Filters</t>
        </is>
      </c>
      <c r="J271" s="9" t="inlineStr">
        <is>
          <t>30 min</t>
        </is>
      </c>
      <c r="K271" s="9" t="inlineStr">
        <is>
          <t>30 min</t>
        </is>
      </c>
      <c r="L271" s="9" t="inlineStr">
        <is>
          <t>Code/Implement Filters</t>
        </is>
      </c>
      <c r="M271" s="9" t="inlineStr">
        <is>
          <t>15 min</t>
        </is>
      </c>
      <c r="N271" s="9" t="inlineStr">
        <is>
          <t>Why is Filters used instead of standard dense layers?</t>
        </is>
      </c>
      <c r="O271" s="9" t="inlineStr">
        <is>
          <t>15 min</t>
        </is>
      </c>
      <c r="P271" s="9" t="inlineStr">
        <is>
          <t>Explain how Filters extracts features from an image.</t>
        </is>
      </c>
      <c r="Q271" s="9" t="inlineStr">
        <is>
          <t>Build/Refine code</t>
        </is>
      </c>
      <c r="R271" s="9" t="inlineStr">
        <is>
          <t>-</t>
        </is>
      </c>
      <c r="S271" s="10" t="inlineStr">
        <is>
          <t>☐ Not Started</t>
        </is>
      </c>
      <c r="T271" s="10">
        <f>IF(S271="☑ Completed", "COMPLETED", "NOT STARTED")</f>
        <v/>
      </c>
      <c r="U271" s="9" t="inlineStr">
        <is>
          <t>Review Notes for Day 54</t>
        </is>
      </c>
    </row>
    <row r="272">
      <c r="A272" s="10" t="n">
        <v>55</v>
      </c>
      <c r="B272" s="10" t="inlineStr">
        <is>
          <t>2026-10-24</t>
        </is>
      </c>
      <c r="C272" s="10" t="n">
        <v>8</v>
      </c>
      <c r="D272" s="10" t="n">
        <v>2</v>
      </c>
      <c r="E272" s="9" t="inlineStr">
        <is>
          <t>Month 2</t>
        </is>
      </c>
      <c r="F272" s="9" t="inlineStr">
        <is>
          <t>Computer Vision</t>
        </is>
      </c>
      <c r="G272" s="9" t="inlineStr">
        <is>
          <t>CNN</t>
        </is>
      </c>
      <c r="H272" s="9" t="inlineStr">
        <is>
          <t>Feature maps</t>
        </is>
      </c>
      <c r="I272" s="9" t="inlineStr">
        <is>
          <t>Master Feature maps</t>
        </is>
      </c>
      <c r="J272" s="9" t="inlineStr">
        <is>
          <t>45 min</t>
        </is>
      </c>
      <c r="K272" s="9" t="inlineStr">
        <is>
          <t>45 min</t>
        </is>
      </c>
      <c r="L272" s="9" t="inlineStr">
        <is>
          <t>Code/Implement Feature maps</t>
        </is>
      </c>
      <c r="M272" s="9" t="inlineStr">
        <is>
          <t>15 min</t>
        </is>
      </c>
      <c r="N272" s="9" t="inlineStr">
        <is>
          <t>Why is Feature maps used instead of standard dense layers?</t>
        </is>
      </c>
      <c r="O272" s="9" t="inlineStr">
        <is>
          <t>15 min</t>
        </is>
      </c>
      <c r="P272" s="9" t="inlineStr">
        <is>
          <t>Explain how Feature maps extracts features from an image.</t>
        </is>
      </c>
      <c r="Q272" s="9" t="inlineStr">
        <is>
          <t>Build/Refine code</t>
        </is>
      </c>
      <c r="R272" s="9" t="n">
        <v>12</v>
      </c>
      <c r="S272" s="10" t="inlineStr">
        <is>
          <t>☐ Not Started</t>
        </is>
      </c>
      <c r="T272" s="10">
        <f>IF(S272="☑ Completed", "COMPLETED", "NOT STARTED")</f>
        <v/>
      </c>
      <c r="U272" s="9" t="inlineStr">
        <is>
          <t>Review Notes for Day 55</t>
        </is>
      </c>
    </row>
    <row r="273">
      <c r="A273" s="10" t="n">
        <v>55</v>
      </c>
      <c r="B273" s="10" t="inlineStr">
        <is>
          <t>2026-10-24</t>
        </is>
      </c>
      <c r="C273" s="10" t="n">
        <v>8</v>
      </c>
      <c r="D273" s="10" t="n">
        <v>2</v>
      </c>
      <c r="E273" s="9" t="inlineStr">
        <is>
          <t>Month 2</t>
        </is>
      </c>
      <c r="F273" s="9" t="inlineStr">
        <is>
          <t>Computer Vision</t>
        </is>
      </c>
      <c r="G273" s="9" t="inlineStr">
        <is>
          <t>CNN</t>
        </is>
      </c>
      <c r="H273" s="9" t="inlineStr">
        <is>
          <t>Pooling</t>
        </is>
      </c>
      <c r="I273" s="9" t="inlineStr">
        <is>
          <t>Master Pooling</t>
        </is>
      </c>
      <c r="J273" s="9" t="inlineStr">
        <is>
          <t>30 min</t>
        </is>
      </c>
      <c r="K273" s="9" t="inlineStr">
        <is>
          <t>30 min</t>
        </is>
      </c>
      <c r="L273" s="9" t="inlineStr">
        <is>
          <t>Code/Implement Pooling</t>
        </is>
      </c>
      <c r="M273" s="9" t="inlineStr">
        <is>
          <t>15 min</t>
        </is>
      </c>
      <c r="N273" s="9" t="inlineStr">
        <is>
          <t>Why is Pooling used instead of standard dense layers?</t>
        </is>
      </c>
      <c r="O273" s="9" t="inlineStr">
        <is>
          <t>15 min</t>
        </is>
      </c>
      <c r="P273" s="9" t="inlineStr">
        <is>
          <t>Explain how Pooling extracts features from an image.</t>
        </is>
      </c>
      <c r="Q273" s="9" t="inlineStr">
        <is>
          <t>Build/Refine code</t>
        </is>
      </c>
      <c r="R273" s="9" t="inlineStr">
        <is>
          <t>-</t>
        </is>
      </c>
      <c r="S273" s="10" t="inlineStr">
        <is>
          <t>☐ Not Started</t>
        </is>
      </c>
      <c r="T273" s="10">
        <f>IF(S273="☑ Completed", "COMPLETED", "NOT STARTED")</f>
        <v/>
      </c>
      <c r="U273" s="9" t="inlineStr">
        <is>
          <t>Review Notes for Day 55</t>
        </is>
      </c>
    </row>
    <row r="274">
      <c r="A274" s="10" t="n">
        <v>55</v>
      </c>
      <c r="B274" s="10" t="inlineStr">
        <is>
          <t>2026-10-24</t>
        </is>
      </c>
      <c r="C274" s="10" t="n">
        <v>8</v>
      </c>
      <c r="D274" s="10" t="n">
        <v>2</v>
      </c>
      <c r="E274" s="9" t="inlineStr">
        <is>
          <t>Month 2</t>
        </is>
      </c>
      <c r="F274" s="9" t="inlineStr">
        <is>
          <t>Computer Vision</t>
        </is>
      </c>
      <c r="G274" s="9" t="inlineStr">
        <is>
          <t>CNN</t>
        </is>
      </c>
      <c r="H274" s="9" t="inlineStr">
        <is>
          <t>Max pooling</t>
        </is>
      </c>
      <c r="I274" s="9" t="inlineStr">
        <is>
          <t>Master Max pooling</t>
        </is>
      </c>
      <c r="J274" s="9" t="inlineStr">
        <is>
          <t>30 min</t>
        </is>
      </c>
      <c r="K274" s="9" t="inlineStr">
        <is>
          <t>30 min</t>
        </is>
      </c>
      <c r="L274" s="9" t="inlineStr">
        <is>
          <t>Code/Implement Max pooling</t>
        </is>
      </c>
      <c r="M274" s="9" t="inlineStr">
        <is>
          <t>15 min</t>
        </is>
      </c>
      <c r="N274" s="9" t="inlineStr">
        <is>
          <t>Why is Max pooling used instead of standard dense layers?</t>
        </is>
      </c>
      <c r="O274" s="9" t="inlineStr">
        <is>
          <t>15 min</t>
        </is>
      </c>
      <c r="P274" s="9" t="inlineStr">
        <is>
          <t>Explain how Max pooling extracts features from an image.</t>
        </is>
      </c>
      <c r="Q274" s="9" t="inlineStr">
        <is>
          <t>Build/Refine code</t>
        </is>
      </c>
      <c r="R274" s="9" t="inlineStr">
        <is>
          <t>-</t>
        </is>
      </c>
      <c r="S274" s="10" t="inlineStr">
        <is>
          <t>☐ Not Started</t>
        </is>
      </c>
      <c r="T274" s="10">
        <f>IF(S274="☑ Completed", "COMPLETED", "NOT STARTED")</f>
        <v/>
      </c>
      <c r="U274" s="9" t="inlineStr">
        <is>
          <t>Review Notes for Day 55</t>
        </is>
      </c>
    </row>
    <row r="275">
      <c r="A275" s="10" t="n">
        <v>55</v>
      </c>
      <c r="B275" s="10" t="inlineStr">
        <is>
          <t>2026-10-24</t>
        </is>
      </c>
      <c r="C275" s="10" t="n">
        <v>8</v>
      </c>
      <c r="D275" s="10" t="n">
        <v>2</v>
      </c>
      <c r="E275" s="9" t="inlineStr">
        <is>
          <t>Month 2</t>
        </is>
      </c>
      <c r="F275" s="9" t="inlineStr">
        <is>
          <t>Computer Vision</t>
        </is>
      </c>
      <c r="G275" s="9" t="inlineStr">
        <is>
          <t>CNN</t>
        </is>
      </c>
      <c r="H275" s="9" t="inlineStr">
        <is>
          <t>CNN architecture</t>
        </is>
      </c>
      <c r="I275" s="9" t="inlineStr">
        <is>
          <t>Master CNN architecture</t>
        </is>
      </c>
      <c r="J275" s="9" t="inlineStr">
        <is>
          <t>30 min</t>
        </is>
      </c>
      <c r="K275" s="9" t="inlineStr">
        <is>
          <t>30 min</t>
        </is>
      </c>
      <c r="L275" s="9" t="inlineStr">
        <is>
          <t>Code/Implement CNN architecture</t>
        </is>
      </c>
      <c r="M275" s="9" t="inlineStr">
        <is>
          <t>15 min</t>
        </is>
      </c>
      <c r="N275" s="9" t="inlineStr">
        <is>
          <t>Why is CNN architecture used instead of standard dense layers?</t>
        </is>
      </c>
      <c r="O275" s="9" t="inlineStr">
        <is>
          <t>15 min</t>
        </is>
      </c>
      <c r="P275" s="9" t="inlineStr">
        <is>
          <t>Explain how CNN architecture extracts features from an image.</t>
        </is>
      </c>
      <c r="Q275" s="9" t="inlineStr">
        <is>
          <t>Build/Refine code</t>
        </is>
      </c>
      <c r="R275" s="9" t="inlineStr">
        <is>
          <t>-</t>
        </is>
      </c>
      <c r="S275" s="10" t="inlineStr">
        <is>
          <t>☐ Not Started</t>
        </is>
      </c>
      <c r="T275" s="10">
        <f>IF(S275="☑ Completed", "COMPLETED", "NOT STARTED")</f>
        <v/>
      </c>
      <c r="U275" s="9" t="inlineStr">
        <is>
          <t>Review Notes for Day 55</t>
        </is>
      </c>
    </row>
    <row r="276">
      <c r="A276" s="10" t="n">
        <v>55</v>
      </c>
      <c r="B276" s="10" t="inlineStr">
        <is>
          <t>2026-10-24</t>
        </is>
      </c>
      <c r="C276" s="10" t="n">
        <v>8</v>
      </c>
      <c r="D276" s="10" t="n">
        <v>2</v>
      </c>
      <c r="E276" s="9" t="inlineStr">
        <is>
          <t>Month 2</t>
        </is>
      </c>
      <c r="F276" s="9" t="inlineStr">
        <is>
          <t>Computer Vision</t>
        </is>
      </c>
      <c r="G276" s="9" t="inlineStr">
        <is>
          <t>CNN</t>
        </is>
      </c>
      <c r="H276" s="9" t="inlineStr">
        <is>
          <t>Flatten</t>
        </is>
      </c>
      <c r="I276" s="9" t="inlineStr">
        <is>
          <t>Master Flatten</t>
        </is>
      </c>
      <c r="J276" s="9" t="inlineStr">
        <is>
          <t>30 min</t>
        </is>
      </c>
      <c r="K276" s="9" t="inlineStr">
        <is>
          <t>30 min</t>
        </is>
      </c>
      <c r="L276" s="9" t="inlineStr">
        <is>
          <t>Code/Implement Flatten</t>
        </is>
      </c>
      <c r="M276" s="9" t="inlineStr">
        <is>
          <t>15 min</t>
        </is>
      </c>
      <c r="N276" s="9" t="inlineStr">
        <is>
          <t>Why is Flatten used instead of standard dense layers?</t>
        </is>
      </c>
      <c r="O276" s="9" t="inlineStr">
        <is>
          <t>15 min</t>
        </is>
      </c>
      <c r="P276" s="9" t="inlineStr">
        <is>
          <t>Explain how Flatten extracts features from an image.</t>
        </is>
      </c>
      <c r="Q276" s="9" t="inlineStr">
        <is>
          <t>Build/Refine code</t>
        </is>
      </c>
      <c r="R276" s="9" t="inlineStr">
        <is>
          <t>-</t>
        </is>
      </c>
      <c r="S276" s="10" t="inlineStr">
        <is>
          <t>☐ Not Started</t>
        </is>
      </c>
      <c r="T276" s="10">
        <f>IF(S276="☑ Completed", "COMPLETED", "NOT STARTED")</f>
        <v/>
      </c>
      <c r="U276" s="9" t="inlineStr">
        <is>
          <t>Review Notes for Day 55</t>
        </is>
      </c>
    </row>
    <row r="277">
      <c r="A277" s="10" t="n">
        <v>56</v>
      </c>
      <c r="B277" s="10" t="inlineStr">
        <is>
          <t>2026-10-25</t>
        </is>
      </c>
      <c r="C277" s="10" t="n">
        <v>8</v>
      </c>
      <c r="D277" s="10" t="n">
        <v>2</v>
      </c>
      <c r="E277" s="9" t="inlineStr">
        <is>
          <t>Month 2</t>
        </is>
      </c>
      <c r="F277" s="9" t="inlineStr">
        <is>
          <t>Computer Vision</t>
        </is>
      </c>
      <c r="G277" s="9" t="inlineStr">
        <is>
          <t>CNN</t>
        </is>
      </c>
      <c r="H277" s="9" t="inlineStr">
        <is>
          <t>Transfer learning</t>
        </is>
      </c>
      <c r="I277" s="9" t="inlineStr">
        <is>
          <t>Master Transfer learning</t>
        </is>
      </c>
      <c r="J277" s="9" t="inlineStr">
        <is>
          <t>45 min</t>
        </is>
      </c>
      <c r="K277" s="9" t="inlineStr">
        <is>
          <t>45 min</t>
        </is>
      </c>
      <c r="L277" s="9" t="inlineStr">
        <is>
          <t>Code/Implement Transfer learning</t>
        </is>
      </c>
      <c r="M277" s="9" t="inlineStr">
        <is>
          <t>15 min</t>
        </is>
      </c>
      <c r="N277" s="9" t="inlineStr">
        <is>
          <t>Why is Transfer learning used instead of standard dense layers?</t>
        </is>
      </c>
      <c r="O277" s="9" t="inlineStr">
        <is>
          <t>15 min</t>
        </is>
      </c>
      <c r="P277" s="9" t="inlineStr">
        <is>
          <t>Explain how Transfer learning extracts features from an image.</t>
        </is>
      </c>
      <c r="Q277" s="9" t="inlineStr">
        <is>
          <t>Build/Refine code</t>
        </is>
      </c>
      <c r="R277" s="9" t="n">
        <v>12</v>
      </c>
      <c r="S277" s="10" t="inlineStr">
        <is>
          <t>☐ Not Started</t>
        </is>
      </c>
      <c r="T277" s="10">
        <f>IF(S277="☑ Completed", "COMPLETED", "NOT STARTED")</f>
        <v/>
      </c>
      <c r="U277" s="9" t="inlineStr">
        <is>
          <t>Review Notes for Day 56</t>
        </is>
      </c>
    </row>
    <row r="278">
      <c r="A278" s="10" t="n">
        <v>56</v>
      </c>
      <c r="B278" s="10" t="inlineStr">
        <is>
          <t>2026-10-25</t>
        </is>
      </c>
      <c r="C278" s="10" t="n">
        <v>8</v>
      </c>
      <c r="D278" s="10" t="n">
        <v>2</v>
      </c>
      <c r="E278" s="9" t="inlineStr">
        <is>
          <t>Month 2</t>
        </is>
      </c>
      <c r="F278" s="9" t="inlineStr">
        <is>
          <t>Computer Vision</t>
        </is>
      </c>
      <c r="G278" s="9" t="inlineStr">
        <is>
          <t>CNN</t>
        </is>
      </c>
      <c r="H278" s="9" t="inlineStr">
        <is>
          <t>Image classification</t>
        </is>
      </c>
      <c r="I278" s="9" t="inlineStr">
        <is>
          <t>Master Image classification</t>
        </is>
      </c>
      <c r="J278" s="9" t="inlineStr">
        <is>
          <t>30 min</t>
        </is>
      </c>
      <c r="K278" s="9" t="inlineStr">
        <is>
          <t>30 min</t>
        </is>
      </c>
      <c r="L278" s="9" t="inlineStr">
        <is>
          <t>Code/Implement Image classification</t>
        </is>
      </c>
      <c r="M278" s="9" t="inlineStr">
        <is>
          <t>15 min</t>
        </is>
      </c>
      <c r="N278" s="9" t="inlineStr">
        <is>
          <t>Why is Image classification used instead of standard dense layers?</t>
        </is>
      </c>
      <c r="O278" s="9" t="inlineStr">
        <is>
          <t>15 min</t>
        </is>
      </c>
      <c r="P278" s="9" t="inlineStr">
        <is>
          <t>Explain how Image classification extracts features from an image.</t>
        </is>
      </c>
      <c r="Q278" s="9" t="inlineStr">
        <is>
          <t>Build/Refine code</t>
        </is>
      </c>
      <c r="R278" s="9" t="inlineStr">
        <is>
          <t>-</t>
        </is>
      </c>
      <c r="S278" s="10" t="inlineStr">
        <is>
          <t>☐ Not Started</t>
        </is>
      </c>
      <c r="T278" s="10">
        <f>IF(S278="☑ Completed", "COMPLETED", "NOT STARTED")</f>
        <v/>
      </c>
      <c r="U278" s="9" t="inlineStr">
        <is>
          <t>Review Notes for Day 56</t>
        </is>
      </c>
    </row>
    <row r="279">
      <c r="A279" s="10" t="n">
        <v>56</v>
      </c>
      <c r="B279" s="10" t="inlineStr">
        <is>
          <t>2026-10-25</t>
        </is>
      </c>
      <c r="C279" s="10" t="n">
        <v>8</v>
      </c>
      <c r="D279" s="10" t="n">
        <v>2</v>
      </c>
      <c r="E279" s="9" t="inlineStr">
        <is>
          <t>Month 2</t>
        </is>
      </c>
      <c r="F279" s="9" t="inlineStr">
        <is>
          <t>Computer Vision</t>
        </is>
      </c>
      <c r="G279" s="9" t="inlineStr">
        <is>
          <t>Object Detection</t>
        </is>
      </c>
      <c r="H279" s="9" t="inlineStr">
        <is>
          <t>Object detection</t>
        </is>
      </c>
      <c r="I279" s="9" t="inlineStr">
        <is>
          <t>Master Object detection</t>
        </is>
      </c>
      <c r="J279" s="9" t="inlineStr">
        <is>
          <t>30 min</t>
        </is>
      </c>
      <c r="K279" s="9" t="inlineStr">
        <is>
          <t>30 min</t>
        </is>
      </c>
      <c r="L279" s="9" t="inlineStr">
        <is>
          <t>Code/Implement Object detection</t>
        </is>
      </c>
      <c r="M279" s="9" t="inlineStr">
        <is>
          <t>15 min</t>
        </is>
      </c>
      <c r="N279" s="9" t="inlineStr">
        <is>
          <t>How does Object detection improve detection accuracy?</t>
        </is>
      </c>
      <c r="O279" s="9" t="inlineStr">
        <is>
          <t>15 min</t>
        </is>
      </c>
      <c r="P279" s="9" t="inlineStr">
        <is>
          <t>Describe the architecture of Object detection.</t>
        </is>
      </c>
      <c r="Q279" s="9" t="inlineStr">
        <is>
          <t>Build/Refine code</t>
        </is>
      </c>
      <c r="R279" s="9" t="inlineStr">
        <is>
          <t>-</t>
        </is>
      </c>
      <c r="S279" s="10" t="inlineStr">
        <is>
          <t>☐ Not Started</t>
        </is>
      </c>
      <c r="T279" s="10">
        <f>IF(S279="☑ Completed", "COMPLETED", "NOT STARTED")</f>
        <v/>
      </c>
      <c r="U279" s="9" t="inlineStr">
        <is>
          <t>Review Notes for Day 56</t>
        </is>
      </c>
    </row>
    <row r="280">
      <c r="A280" s="10" t="n">
        <v>56</v>
      </c>
      <c r="B280" s="10" t="inlineStr">
        <is>
          <t>2026-10-25</t>
        </is>
      </c>
      <c r="C280" s="10" t="n">
        <v>8</v>
      </c>
      <c r="D280" s="10" t="n">
        <v>2</v>
      </c>
      <c r="E280" s="9" t="inlineStr">
        <is>
          <t>Month 2</t>
        </is>
      </c>
      <c r="F280" s="9" t="inlineStr">
        <is>
          <t>Computer Vision</t>
        </is>
      </c>
      <c r="G280" s="9" t="inlineStr">
        <is>
          <t>Object Detection</t>
        </is>
      </c>
      <c r="H280" s="9" t="inlineStr">
        <is>
          <t>Bounding boxes</t>
        </is>
      </c>
      <c r="I280" s="9" t="inlineStr">
        <is>
          <t>Master Bounding boxes</t>
        </is>
      </c>
      <c r="J280" s="9" t="inlineStr">
        <is>
          <t>30 min</t>
        </is>
      </c>
      <c r="K280" s="9" t="inlineStr">
        <is>
          <t>30 min</t>
        </is>
      </c>
      <c r="L280" s="9" t="inlineStr">
        <is>
          <t>Code/Implement Bounding boxes</t>
        </is>
      </c>
      <c r="M280" s="9" t="inlineStr">
        <is>
          <t>15 min</t>
        </is>
      </c>
      <c r="N280" s="9" t="inlineStr">
        <is>
          <t>How does Bounding boxes improve detection accuracy?</t>
        </is>
      </c>
      <c r="O280" s="9" t="inlineStr">
        <is>
          <t>15 min</t>
        </is>
      </c>
      <c r="P280" s="9" t="inlineStr">
        <is>
          <t>Describe the architecture of Bounding boxes.</t>
        </is>
      </c>
      <c r="Q280" s="9" t="inlineStr">
        <is>
          <t>Build/Refine code</t>
        </is>
      </c>
      <c r="R280" s="9" t="inlineStr">
        <is>
          <t>-</t>
        </is>
      </c>
      <c r="S280" s="10" t="inlineStr">
        <is>
          <t>☐ Not Started</t>
        </is>
      </c>
      <c r="T280" s="10">
        <f>IF(S280="☑ Completed", "COMPLETED", "NOT STARTED")</f>
        <v/>
      </c>
      <c r="U280" s="9" t="inlineStr">
        <is>
          <t>Review Notes for Day 56</t>
        </is>
      </c>
    </row>
    <row r="281">
      <c r="A281" s="10" t="n">
        <v>56</v>
      </c>
      <c r="B281" s="10" t="inlineStr">
        <is>
          <t>2026-10-25</t>
        </is>
      </c>
      <c r="C281" s="10" t="n">
        <v>8</v>
      </c>
      <c r="D281" s="10" t="n">
        <v>2</v>
      </c>
      <c r="E281" s="9" t="inlineStr">
        <is>
          <t>Month 2</t>
        </is>
      </c>
      <c r="F281" s="9" t="inlineStr">
        <is>
          <t>Computer Vision</t>
        </is>
      </c>
      <c r="G281" s="9" t="inlineStr">
        <is>
          <t>Object Detection</t>
        </is>
      </c>
      <c r="H281" s="9" t="inlineStr">
        <is>
          <t>IoU</t>
        </is>
      </c>
      <c r="I281" s="9" t="inlineStr">
        <is>
          <t>Master IoU</t>
        </is>
      </c>
      <c r="J281" s="9" t="inlineStr">
        <is>
          <t>30 min</t>
        </is>
      </c>
      <c r="K281" s="9" t="inlineStr">
        <is>
          <t>30 min</t>
        </is>
      </c>
      <c r="L281" s="9" t="inlineStr">
        <is>
          <t>Code/Implement IoU</t>
        </is>
      </c>
      <c r="M281" s="9" t="inlineStr">
        <is>
          <t>15 min</t>
        </is>
      </c>
      <c r="N281" s="9" t="inlineStr">
        <is>
          <t>How does IoU improve detection accuracy?</t>
        </is>
      </c>
      <c r="O281" s="9" t="inlineStr">
        <is>
          <t>15 min</t>
        </is>
      </c>
      <c r="P281" s="9" t="inlineStr">
        <is>
          <t>Describe the architecture of IoU.</t>
        </is>
      </c>
      <c r="Q281" s="9" t="inlineStr">
        <is>
          <t>Build/Refine code</t>
        </is>
      </c>
      <c r="R281" s="9" t="inlineStr">
        <is>
          <t>-</t>
        </is>
      </c>
      <c r="S281" s="10" t="inlineStr">
        <is>
          <t>☐ Not Started</t>
        </is>
      </c>
      <c r="T281" s="10">
        <f>IF(S281="☑ Completed", "COMPLETED", "NOT STARTED")</f>
        <v/>
      </c>
      <c r="U281" s="9" t="inlineStr">
        <is>
          <t>Review Notes for Day 56</t>
        </is>
      </c>
    </row>
    <row r="282">
      <c r="A282" s="10" t="n">
        <v>57</v>
      </c>
      <c r="B282" s="10" t="inlineStr">
        <is>
          <t>2026-10-26</t>
        </is>
      </c>
      <c r="C282" s="10" t="n">
        <v>9</v>
      </c>
      <c r="D282" s="10" t="n">
        <v>2</v>
      </c>
      <c r="E282" s="9" t="inlineStr">
        <is>
          <t>Month 2</t>
        </is>
      </c>
      <c r="F282" s="9" t="inlineStr">
        <is>
          <t>Computer Vision</t>
        </is>
      </c>
      <c r="G282" s="9" t="inlineStr">
        <is>
          <t>Object Detection</t>
        </is>
      </c>
      <c r="H282" s="9" t="inlineStr">
        <is>
          <t>YOLO</t>
        </is>
      </c>
      <c r="I282" s="9" t="inlineStr">
        <is>
          <t>Master YOLO</t>
        </is>
      </c>
      <c r="J282" s="9" t="inlineStr">
        <is>
          <t>45 min</t>
        </is>
      </c>
      <c r="K282" s="9" t="inlineStr">
        <is>
          <t>45 min</t>
        </is>
      </c>
      <c r="L282" s="9" t="inlineStr">
        <is>
          <t>Code/Implement YOLO</t>
        </is>
      </c>
      <c r="M282" s="9" t="inlineStr">
        <is>
          <t>15 min</t>
        </is>
      </c>
      <c r="N282" s="9" t="inlineStr">
        <is>
          <t>How does YOLO improve detection accuracy?</t>
        </is>
      </c>
      <c r="O282" s="9" t="inlineStr">
        <is>
          <t>15 min</t>
        </is>
      </c>
      <c r="P282" s="9" t="inlineStr">
        <is>
          <t>Describe the architecture of YOLO.</t>
        </is>
      </c>
      <c r="Q282" s="9" t="inlineStr">
        <is>
          <t>Build/Refine code</t>
        </is>
      </c>
      <c r="R282" s="9" t="n">
        <v>12</v>
      </c>
      <c r="S282" s="10" t="inlineStr">
        <is>
          <t>☐ Not Started</t>
        </is>
      </c>
      <c r="T282" s="10">
        <f>IF(S282="☑ Completed", "COMPLETED", "NOT STARTED")</f>
        <v/>
      </c>
      <c r="U282" s="9" t="inlineStr">
        <is>
          <t>Review Notes for Day 57</t>
        </is>
      </c>
    </row>
    <row r="283">
      <c r="A283" s="10" t="n">
        <v>57</v>
      </c>
      <c r="B283" s="10" t="inlineStr">
        <is>
          <t>2026-10-26</t>
        </is>
      </c>
      <c r="C283" s="10" t="n">
        <v>9</v>
      </c>
      <c r="D283" s="10" t="n">
        <v>2</v>
      </c>
      <c r="E283" s="9" t="inlineStr">
        <is>
          <t>Month 2</t>
        </is>
      </c>
      <c r="F283" s="9" t="inlineStr">
        <is>
          <t>Computer Vision</t>
        </is>
      </c>
      <c r="G283" s="9" t="inlineStr">
        <is>
          <t>Object Detection</t>
        </is>
      </c>
      <c r="H283" s="9" t="inlineStr">
        <is>
          <t>Faster R-CNN concept</t>
        </is>
      </c>
      <c r="I283" s="9" t="inlineStr">
        <is>
          <t>Master Faster R-CNN concept</t>
        </is>
      </c>
      <c r="J283" s="9" t="inlineStr">
        <is>
          <t>30 min</t>
        </is>
      </c>
      <c r="K283" s="9" t="inlineStr">
        <is>
          <t>30 min</t>
        </is>
      </c>
      <c r="L283" s="9" t="inlineStr">
        <is>
          <t>Code/Implement Faster R-CNN concept</t>
        </is>
      </c>
      <c r="M283" s="9" t="inlineStr">
        <is>
          <t>15 min</t>
        </is>
      </c>
      <c r="N283" s="9" t="inlineStr">
        <is>
          <t>How does Faster R-CNN concept improve detection accuracy?</t>
        </is>
      </c>
      <c r="O283" s="9" t="inlineStr">
        <is>
          <t>15 min</t>
        </is>
      </c>
      <c r="P283" s="9" t="inlineStr">
        <is>
          <t>Describe the architecture of Faster R-CNN concept.</t>
        </is>
      </c>
      <c r="Q283" s="9" t="inlineStr">
        <is>
          <t>Build/Refine code</t>
        </is>
      </c>
      <c r="R283" s="9" t="inlineStr">
        <is>
          <t>-</t>
        </is>
      </c>
      <c r="S283" s="10" t="inlineStr">
        <is>
          <t>☐ Not Started</t>
        </is>
      </c>
      <c r="T283" s="10">
        <f>IF(S283="☑ Completed", "COMPLETED", "NOT STARTED")</f>
        <v/>
      </c>
      <c r="U283" s="9" t="inlineStr">
        <is>
          <t>Review Notes for Day 57</t>
        </is>
      </c>
    </row>
    <row r="284">
      <c r="A284" s="10" t="n">
        <v>57</v>
      </c>
      <c r="B284" s="10" t="inlineStr">
        <is>
          <t>2026-10-26</t>
        </is>
      </c>
      <c r="C284" s="10" t="n">
        <v>9</v>
      </c>
      <c r="D284" s="10" t="n">
        <v>2</v>
      </c>
      <c r="E284" s="9" t="inlineStr">
        <is>
          <t>Month 2</t>
        </is>
      </c>
      <c r="F284" s="9" t="inlineStr">
        <is>
          <t>Computer Vision</t>
        </is>
      </c>
      <c r="G284" s="9" t="inlineStr">
        <is>
          <t>Object Detection</t>
        </is>
      </c>
      <c r="H284" s="9" t="inlineStr">
        <is>
          <t>DETR concept</t>
        </is>
      </c>
      <c r="I284" s="9" t="inlineStr">
        <is>
          <t>Master DETR concept</t>
        </is>
      </c>
      <c r="J284" s="9" t="inlineStr">
        <is>
          <t>30 min</t>
        </is>
      </c>
      <c r="K284" s="9" t="inlineStr">
        <is>
          <t>30 min</t>
        </is>
      </c>
      <c r="L284" s="9" t="inlineStr">
        <is>
          <t>Code/Implement DETR concept</t>
        </is>
      </c>
      <c r="M284" s="9" t="inlineStr">
        <is>
          <t>15 min</t>
        </is>
      </c>
      <c r="N284" s="9" t="inlineStr">
        <is>
          <t>How does DETR concept improve detection accuracy?</t>
        </is>
      </c>
      <c r="O284" s="9" t="inlineStr">
        <is>
          <t>15 min</t>
        </is>
      </c>
      <c r="P284" s="9" t="inlineStr">
        <is>
          <t>Describe the architecture of DETR concept.</t>
        </is>
      </c>
      <c r="Q284" s="9" t="inlineStr">
        <is>
          <t>Build/Refine code</t>
        </is>
      </c>
      <c r="R284" s="9" t="inlineStr">
        <is>
          <t>-</t>
        </is>
      </c>
      <c r="S284" s="10" t="inlineStr">
        <is>
          <t>☐ Not Started</t>
        </is>
      </c>
      <c r="T284" s="10">
        <f>IF(S284="☑ Completed", "COMPLETED", "NOT STARTED")</f>
        <v/>
      </c>
      <c r="U284" s="9" t="inlineStr">
        <is>
          <t>Review Notes for Day 57</t>
        </is>
      </c>
    </row>
    <row r="285">
      <c r="A285" s="10" t="n">
        <v>57</v>
      </c>
      <c r="B285" s="10" t="inlineStr">
        <is>
          <t>2026-10-26</t>
        </is>
      </c>
      <c r="C285" s="10" t="n">
        <v>9</v>
      </c>
      <c r="D285" s="10" t="n">
        <v>2</v>
      </c>
      <c r="E285" s="9" t="inlineStr">
        <is>
          <t>Month 2</t>
        </is>
      </c>
      <c r="F285" s="9" t="inlineStr">
        <is>
          <t>Computer Vision</t>
        </is>
      </c>
      <c r="G285" s="9" t="inlineStr">
        <is>
          <t>Object Detection</t>
        </is>
      </c>
      <c r="H285" s="9" t="inlineStr">
        <is>
          <t>NMS concept</t>
        </is>
      </c>
      <c r="I285" s="9" t="inlineStr">
        <is>
          <t>Master NMS concept</t>
        </is>
      </c>
      <c r="J285" s="9" t="inlineStr">
        <is>
          <t>30 min</t>
        </is>
      </c>
      <c r="K285" s="9" t="inlineStr">
        <is>
          <t>30 min</t>
        </is>
      </c>
      <c r="L285" s="9" t="inlineStr">
        <is>
          <t>Code/Implement NMS concept</t>
        </is>
      </c>
      <c r="M285" s="9" t="inlineStr">
        <is>
          <t>15 min</t>
        </is>
      </c>
      <c r="N285" s="9" t="inlineStr">
        <is>
          <t>How does NMS concept improve detection accuracy?</t>
        </is>
      </c>
      <c r="O285" s="9" t="inlineStr">
        <is>
          <t>15 min</t>
        </is>
      </c>
      <c r="P285" s="9" t="inlineStr">
        <is>
          <t>Describe the architecture of NMS concept.</t>
        </is>
      </c>
      <c r="Q285" s="9" t="inlineStr">
        <is>
          <t>Build/Refine code</t>
        </is>
      </c>
      <c r="R285" s="9" t="inlineStr">
        <is>
          <t>-</t>
        </is>
      </c>
      <c r="S285" s="10" t="inlineStr">
        <is>
          <t>☐ Not Started</t>
        </is>
      </c>
      <c r="T285" s="10">
        <f>IF(S285="☑ Completed", "COMPLETED", "NOT STARTED")</f>
        <v/>
      </c>
      <c r="U285" s="9" t="inlineStr">
        <is>
          <t>Review Notes for Day 57</t>
        </is>
      </c>
    </row>
    <row r="286">
      <c r="A286" s="10" t="n">
        <v>57</v>
      </c>
      <c r="B286" s="10" t="inlineStr">
        <is>
          <t>2026-10-26</t>
        </is>
      </c>
      <c r="C286" s="10" t="n">
        <v>9</v>
      </c>
      <c r="D286" s="10" t="n">
        <v>2</v>
      </c>
      <c r="E286" s="9" t="inlineStr">
        <is>
          <t>Month 2</t>
        </is>
      </c>
      <c r="F286" s="9" t="inlineStr">
        <is>
          <t>NLP</t>
        </is>
      </c>
      <c r="G286" s="9" t="inlineStr">
        <is>
          <t>Basics</t>
        </is>
      </c>
      <c r="H286" s="9" t="inlineStr">
        <is>
          <t>Text preprocessing</t>
        </is>
      </c>
      <c r="I286" s="9" t="inlineStr">
        <is>
          <t>Master Text preprocessing</t>
        </is>
      </c>
      <c r="J286" s="9" t="inlineStr">
        <is>
          <t>30 min</t>
        </is>
      </c>
      <c r="K286" s="9" t="inlineStr">
        <is>
          <t>30 min</t>
        </is>
      </c>
      <c r="L286" s="9" t="inlineStr">
        <is>
          <t>Code/Implement Text preprocessing</t>
        </is>
      </c>
      <c r="M286" s="9" t="inlineStr">
        <is>
          <t>15 min</t>
        </is>
      </c>
      <c r="N286" s="9" t="inlineStr">
        <is>
          <t>What is the limitation of Text preprocessing?</t>
        </is>
      </c>
      <c r="O286" s="9" t="inlineStr">
        <is>
          <t>15 min</t>
        </is>
      </c>
      <c r="P286" s="9" t="inlineStr">
        <is>
          <t>Explain the transition from basic NLP to Text preprocessing models.</t>
        </is>
      </c>
      <c r="Q286" s="9" t="inlineStr">
        <is>
          <t>Build/Refine code</t>
        </is>
      </c>
      <c r="R286" s="9" t="inlineStr">
        <is>
          <t>-</t>
        </is>
      </c>
      <c r="S286" s="10" t="inlineStr">
        <is>
          <t>☐ Not Started</t>
        </is>
      </c>
      <c r="T286" s="10">
        <f>IF(S286="☑ Completed", "COMPLETED", "NOT STARTED")</f>
        <v/>
      </c>
      <c r="U286" s="9" t="inlineStr">
        <is>
          <t>Review Notes for Day 57</t>
        </is>
      </c>
    </row>
    <row r="287">
      <c r="A287" s="10" t="n">
        <v>58</v>
      </c>
      <c r="B287" s="10" t="inlineStr">
        <is>
          <t>2026-10-27</t>
        </is>
      </c>
      <c r="C287" s="10" t="n">
        <v>9</v>
      </c>
      <c r="D287" s="10" t="n">
        <v>2</v>
      </c>
      <c r="E287" s="9" t="inlineStr">
        <is>
          <t>Month 2</t>
        </is>
      </c>
      <c r="F287" s="9" t="inlineStr">
        <is>
          <t>NLP</t>
        </is>
      </c>
      <c r="G287" s="9" t="inlineStr">
        <is>
          <t>Basics</t>
        </is>
      </c>
      <c r="H287" s="9" t="inlineStr">
        <is>
          <t>Tokenization</t>
        </is>
      </c>
      <c r="I287" s="9" t="inlineStr">
        <is>
          <t>Master Tokenization</t>
        </is>
      </c>
      <c r="J287" s="9" t="inlineStr">
        <is>
          <t>45 min</t>
        </is>
      </c>
      <c r="K287" s="9" t="inlineStr">
        <is>
          <t>45 min</t>
        </is>
      </c>
      <c r="L287" s="9" t="inlineStr">
        <is>
          <t>Code/Implement Tokenization</t>
        </is>
      </c>
      <c r="M287" s="9" t="inlineStr">
        <is>
          <t>15 min</t>
        </is>
      </c>
      <c r="N287" s="9" t="inlineStr">
        <is>
          <t>What is the limitation of Tokenization?</t>
        </is>
      </c>
      <c r="O287" s="9" t="inlineStr">
        <is>
          <t>15 min</t>
        </is>
      </c>
      <c r="P287" s="9" t="inlineStr">
        <is>
          <t>Explain the transition from basic NLP to Tokenization models.</t>
        </is>
      </c>
      <c r="Q287" s="9" t="inlineStr">
        <is>
          <t>Build/Refine code</t>
        </is>
      </c>
      <c r="R287" s="9" t="n">
        <v>12</v>
      </c>
      <c r="S287" s="10" t="inlineStr">
        <is>
          <t>☐ Not Started</t>
        </is>
      </c>
      <c r="T287" s="10">
        <f>IF(S287="☑ Completed", "COMPLETED", "NOT STARTED")</f>
        <v/>
      </c>
      <c r="U287" s="9" t="inlineStr">
        <is>
          <t>Review Notes for Day 58</t>
        </is>
      </c>
    </row>
    <row r="288">
      <c r="A288" s="10" t="n">
        <v>58</v>
      </c>
      <c r="B288" s="10" t="inlineStr">
        <is>
          <t>2026-10-27</t>
        </is>
      </c>
      <c r="C288" s="10" t="n">
        <v>9</v>
      </c>
      <c r="D288" s="10" t="n">
        <v>2</v>
      </c>
      <c r="E288" s="9" t="inlineStr">
        <is>
          <t>Month 2</t>
        </is>
      </c>
      <c r="F288" s="9" t="inlineStr">
        <is>
          <t>NLP</t>
        </is>
      </c>
      <c r="G288" s="9" t="inlineStr">
        <is>
          <t>Basics</t>
        </is>
      </c>
      <c r="H288" s="9" t="inlineStr">
        <is>
          <t>Stopwords</t>
        </is>
      </c>
      <c r="I288" s="9" t="inlineStr">
        <is>
          <t>Master Stopwords</t>
        </is>
      </c>
      <c r="J288" s="9" t="inlineStr">
        <is>
          <t>30 min</t>
        </is>
      </c>
      <c r="K288" s="9" t="inlineStr">
        <is>
          <t>30 min</t>
        </is>
      </c>
      <c r="L288" s="9" t="inlineStr">
        <is>
          <t>Code/Implement Stopwords</t>
        </is>
      </c>
      <c r="M288" s="9" t="inlineStr">
        <is>
          <t>15 min</t>
        </is>
      </c>
      <c r="N288" s="9" t="inlineStr">
        <is>
          <t>What is the limitation of Stopwords?</t>
        </is>
      </c>
      <c r="O288" s="9" t="inlineStr">
        <is>
          <t>15 min</t>
        </is>
      </c>
      <c r="P288" s="9" t="inlineStr">
        <is>
          <t>Explain the transition from basic NLP to Stopwords models.</t>
        </is>
      </c>
      <c r="Q288" s="9" t="inlineStr">
        <is>
          <t>Build/Refine code</t>
        </is>
      </c>
      <c r="R288" s="9" t="inlineStr">
        <is>
          <t>-</t>
        </is>
      </c>
      <c r="S288" s="10" t="inlineStr">
        <is>
          <t>☐ Not Started</t>
        </is>
      </c>
      <c r="T288" s="10">
        <f>IF(S288="☑ Completed", "COMPLETED", "NOT STARTED")</f>
        <v/>
      </c>
      <c r="U288" s="9" t="inlineStr">
        <is>
          <t>Review Notes for Day 58</t>
        </is>
      </c>
    </row>
    <row r="289">
      <c r="A289" s="10" t="n">
        <v>58</v>
      </c>
      <c r="B289" s="10" t="inlineStr">
        <is>
          <t>2026-10-27</t>
        </is>
      </c>
      <c r="C289" s="10" t="n">
        <v>9</v>
      </c>
      <c r="D289" s="10" t="n">
        <v>2</v>
      </c>
      <c r="E289" s="9" t="inlineStr">
        <is>
          <t>Month 2</t>
        </is>
      </c>
      <c r="F289" s="9" t="inlineStr">
        <is>
          <t>NLP</t>
        </is>
      </c>
      <c r="G289" s="9" t="inlineStr">
        <is>
          <t>Basics</t>
        </is>
      </c>
      <c r="H289" s="9" t="inlineStr">
        <is>
          <t>Stemming</t>
        </is>
      </c>
      <c r="I289" s="9" t="inlineStr">
        <is>
          <t>Master Stemming</t>
        </is>
      </c>
      <c r="J289" s="9" t="inlineStr">
        <is>
          <t>30 min</t>
        </is>
      </c>
      <c r="K289" s="9" t="inlineStr">
        <is>
          <t>30 min</t>
        </is>
      </c>
      <c r="L289" s="9" t="inlineStr">
        <is>
          <t>Code/Implement Stemming</t>
        </is>
      </c>
      <c r="M289" s="9" t="inlineStr">
        <is>
          <t>15 min</t>
        </is>
      </c>
      <c r="N289" s="9" t="inlineStr">
        <is>
          <t>What is the limitation of Stemming?</t>
        </is>
      </c>
      <c r="O289" s="9" t="inlineStr">
        <is>
          <t>15 min</t>
        </is>
      </c>
      <c r="P289" s="9" t="inlineStr">
        <is>
          <t>Explain the transition from basic NLP to Stemming models.</t>
        </is>
      </c>
      <c r="Q289" s="9" t="inlineStr">
        <is>
          <t>Build/Refine code</t>
        </is>
      </c>
      <c r="R289" s="9" t="inlineStr">
        <is>
          <t>-</t>
        </is>
      </c>
      <c r="S289" s="10" t="inlineStr">
        <is>
          <t>☐ Not Started</t>
        </is>
      </c>
      <c r="T289" s="10">
        <f>IF(S289="☑ Completed", "COMPLETED", "NOT STARTED")</f>
        <v/>
      </c>
      <c r="U289" s="9" t="inlineStr">
        <is>
          <t>Review Notes for Day 58</t>
        </is>
      </c>
    </row>
    <row r="290">
      <c r="A290" s="10" t="n">
        <v>58</v>
      </c>
      <c r="B290" s="10" t="inlineStr">
        <is>
          <t>2026-10-27</t>
        </is>
      </c>
      <c r="C290" s="10" t="n">
        <v>9</v>
      </c>
      <c r="D290" s="10" t="n">
        <v>2</v>
      </c>
      <c r="E290" s="9" t="inlineStr">
        <is>
          <t>Month 2</t>
        </is>
      </c>
      <c r="F290" s="9" t="inlineStr">
        <is>
          <t>NLP</t>
        </is>
      </c>
      <c r="G290" s="9" t="inlineStr">
        <is>
          <t>Basics</t>
        </is>
      </c>
      <c r="H290" s="9" t="inlineStr">
        <is>
          <t>Lemmatization</t>
        </is>
      </c>
      <c r="I290" s="9" t="inlineStr">
        <is>
          <t>Master Lemmatization</t>
        </is>
      </c>
      <c r="J290" s="9" t="inlineStr">
        <is>
          <t>30 min</t>
        </is>
      </c>
      <c r="K290" s="9" t="inlineStr">
        <is>
          <t>30 min</t>
        </is>
      </c>
      <c r="L290" s="9" t="inlineStr">
        <is>
          <t>Code/Implement Lemmatization</t>
        </is>
      </c>
      <c r="M290" s="9" t="inlineStr">
        <is>
          <t>15 min</t>
        </is>
      </c>
      <c r="N290" s="9" t="inlineStr">
        <is>
          <t>What is the limitation of Lemmatization?</t>
        </is>
      </c>
      <c r="O290" s="9" t="inlineStr">
        <is>
          <t>15 min</t>
        </is>
      </c>
      <c r="P290" s="9" t="inlineStr">
        <is>
          <t>Explain the transition from basic NLP to Lemmatization models.</t>
        </is>
      </c>
      <c r="Q290" s="9" t="inlineStr">
        <is>
          <t>Build/Refine code</t>
        </is>
      </c>
      <c r="R290" s="9" t="inlineStr">
        <is>
          <t>-</t>
        </is>
      </c>
      <c r="S290" s="10" t="inlineStr">
        <is>
          <t>☐ Not Started</t>
        </is>
      </c>
      <c r="T290" s="10">
        <f>IF(S290="☑ Completed", "COMPLETED", "NOT STARTED")</f>
        <v/>
      </c>
      <c r="U290" s="9" t="inlineStr">
        <is>
          <t>Review Notes for Day 58</t>
        </is>
      </c>
    </row>
    <row r="291">
      <c r="A291" s="10" t="n">
        <v>58</v>
      </c>
      <c r="B291" s="10" t="inlineStr">
        <is>
          <t>2026-10-27</t>
        </is>
      </c>
      <c r="C291" s="10" t="n">
        <v>9</v>
      </c>
      <c r="D291" s="10" t="n">
        <v>2</v>
      </c>
      <c r="E291" s="9" t="inlineStr">
        <is>
          <t>Month 2</t>
        </is>
      </c>
      <c r="F291" s="9" t="inlineStr">
        <is>
          <t>NLP</t>
        </is>
      </c>
      <c r="G291" s="9" t="inlineStr">
        <is>
          <t>Basics</t>
        </is>
      </c>
      <c r="H291" s="9" t="inlineStr">
        <is>
          <t>Bag of Words</t>
        </is>
      </c>
      <c r="I291" s="9" t="inlineStr">
        <is>
          <t>Master Bag of Words</t>
        </is>
      </c>
      <c r="J291" s="9" t="inlineStr">
        <is>
          <t>30 min</t>
        </is>
      </c>
      <c r="K291" s="9" t="inlineStr">
        <is>
          <t>30 min</t>
        </is>
      </c>
      <c r="L291" s="9" t="inlineStr">
        <is>
          <t>Code/Implement Bag of Words</t>
        </is>
      </c>
      <c r="M291" s="9" t="inlineStr">
        <is>
          <t>15 min</t>
        </is>
      </c>
      <c r="N291" s="9" t="inlineStr">
        <is>
          <t>What is the limitation of Bag of Words?</t>
        </is>
      </c>
      <c r="O291" s="9" t="inlineStr">
        <is>
          <t>15 min</t>
        </is>
      </c>
      <c r="P291" s="9" t="inlineStr">
        <is>
          <t>Explain the transition from basic NLP to Bag of Words models.</t>
        </is>
      </c>
      <c r="Q291" s="9" t="inlineStr">
        <is>
          <t>Build/Refine code</t>
        </is>
      </c>
      <c r="R291" s="9" t="inlineStr">
        <is>
          <t>-</t>
        </is>
      </c>
      <c r="S291" s="10" t="inlineStr">
        <is>
          <t>☐ Not Started</t>
        </is>
      </c>
      <c r="T291" s="10">
        <f>IF(S291="☑ Completed", "COMPLETED", "NOT STARTED")</f>
        <v/>
      </c>
      <c r="U291" s="9" t="inlineStr">
        <is>
          <t>Review Notes for Day 58</t>
        </is>
      </c>
    </row>
    <row r="292">
      <c r="A292" s="10" t="n">
        <v>59</v>
      </c>
      <c r="B292" s="10" t="inlineStr">
        <is>
          <t>2026-10-28</t>
        </is>
      </c>
      <c r="C292" s="10" t="n">
        <v>9</v>
      </c>
      <c r="D292" s="10" t="n">
        <v>2</v>
      </c>
      <c r="E292" s="9" t="inlineStr">
        <is>
          <t>Month 2</t>
        </is>
      </c>
      <c r="F292" s="9" t="inlineStr">
        <is>
          <t>NLP</t>
        </is>
      </c>
      <c r="G292" s="9" t="inlineStr">
        <is>
          <t>Basics</t>
        </is>
      </c>
      <c r="H292" s="9" t="inlineStr">
        <is>
          <t>TF-IDF</t>
        </is>
      </c>
      <c r="I292" s="9" t="inlineStr">
        <is>
          <t>Master TF-IDF</t>
        </is>
      </c>
      <c r="J292" s="9" t="inlineStr">
        <is>
          <t>45 min</t>
        </is>
      </c>
      <c r="K292" s="9" t="inlineStr">
        <is>
          <t>45 min</t>
        </is>
      </c>
      <c r="L292" s="9" t="inlineStr">
        <is>
          <t>Code/Implement TF-IDF</t>
        </is>
      </c>
      <c r="M292" s="9" t="inlineStr">
        <is>
          <t>15 min</t>
        </is>
      </c>
      <c r="N292" s="9" t="inlineStr">
        <is>
          <t>What is the limitation of TF-IDF?</t>
        </is>
      </c>
      <c r="O292" s="9" t="inlineStr">
        <is>
          <t>15 min</t>
        </is>
      </c>
      <c r="P292" s="9" t="inlineStr">
        <is>
          <t>Explain the transition from basic NLP to TF-IDF models.</t>
        </is>
      </c>
      <c r="Q292" s="9" t="inlineStr">
        <is>
          <t>Build/Refine code</t>
        </is>
      </c>
      <c r="R292" s="9" t="n">
        <v>12</v>
      </c>
      <c r="S292" s="10" t="inlineStr">
        <is>
          <t>☐ Not Started</t>
        </is>
      </c>
      <c r="T292" s="10">
        <f>IF(S292="☑ Completed", "COMPLETED", "NOT STARTED")</f>
        <v/>
      </c>
      <c r="U292" s="9" t="inlineStr">
        <is>
          <t>Review Notes for Day 59</t>
        </is>
      </c>
    </row>
    <row r="293">
      <c r="A293" s="10" t="n">
        <v>59</v>
      </c>
      <c r="B293" s="10" t="inlineStr">
        <is>
          <t>2026-10-28</t>
        </is>
      </c>
      <c r="C293" s="10" t="n">
        <v>9</v>
      </c>
      <c r="D293" s="10" t="n">
        <v>2</v>
      </c>
      <c r="E293" s="9" t="inlineStr">
        <is>
          <t>Month 2</t>
        </is>
      </c>
      <c r="F293" s="9" t="inlineStr">
        <is>
          <t>NLP</t>
        </is>
      </c>
      <c r="G293" s="9" t="inlineStr">
        <is>
          <t>Basics</t>
        </is>
      </c>
      <c r="H293" s="9" t="inlineStr">
        <is>
          <t>Word embeddings</t>
        </is>
      </c>
      <c r="I293" s="9" t="inlineStr">
        <is>
          <t>Master Word embeddings</t>
        </is>
      </c>
      <c r="J293" s="9" t="inlineStr">
        <is>
          <t>30 min</t>
        </is>
      </c>
      <c r="K293" s="9" t="inlineStr">
        <is>
          <t>30 min</t>
        </is>
      </c>
      <c r="L293" s="9" t="inlineStr">
        <is>
          <t>Code/Implement Word embeddings</t>
        </is>
      </c>
      <c r="M293" s="9" t="inlineStr">
        <is>
          <t>15 min</t>
        </is>
      </c>
      <c r="N293" s="9" t="inlineStr">
        <is>
          <t>What is the limitation of Word embeddings?</t>
        </is>
      </c>
      <c r="O293" s="9" t="inlineStr">
        <is>
          <t>15 min</t>
        </is>
      </c>
      <c r="P293" s="9" t="inlineStr">
        <is>
          <t>Explain the transition from basic NLP to Word embeddings models.</t>
        </is>
      </c>
      <c r="Q293" s="9" t="inlineStr">
        <is>
          <t>Build/Refine code</t>
        </is>
      </c>
      <c r="R293" s="9" t="inlineStr">
        <is>
          <t>-</t>
        </is>
      </c>
      <c r="S293" s="10" t="inlineStr">
        <is>
          <t>☐ Not Started</t>
        </is>
      </c>
      <c r="T293" s="10">
        <f>IF(S293="☑ Completed", "COMPLETED", "NOT STARTED")</f>
        <v/>
      </c>
      <c r="U293" s="9" t="inlineStr">
        <is>
          <t>Review Notes for Day 59</t>
        </is>
      </c>
    </row>
    <row r="294">
      <c r="A294" s="10" t="n">
        <v>59</v>
      </c>
      <c r="B294" s="10" t="inlineStr">
        <is>
          <t>2026-10-28</t>
        </is>
      </c>
      <c r="C294" s="10" t="n">
        <v>9</v>
      </c>
      <c r="D294" s="10" t="n">
        <v>2</v>
      </c>
      <c r="E294" s="9" t="inlineStr">
        <is>
          <t>Month 2</t>
        </is>
      </c>
      <c r="F294" s="9" t="inlineStr">
        <is>
          <t>NLP</t>
        </is>
      </c>
      <c r="G294" s="9" t="inlineStr">
        <is>
          <t>Basics</t>
        </is>
      </c>
      <c r="H294" s="9" t="inlineStr">
        <is>
          <t>Word2Vec</t>
        </is>
      </c>
      <c r="I294" s="9" t="inlineStr">
        <is>
          <t>Master Word2Vec</t>
        </is>
      </c>
      <c r="J294" s="9" t="inlineStr">
        <is>
          <t>30 min</t>
        </is>
      </c>
      <c r="K294" s="9" t="inlineStr">
        <is>
          <t>30 min</t>
        </is>
      </c>
      <c r="L294" s="9" t="inlineStr">
        <is>
          <t>Code/Implement Word2Vec</t>
        </is>
      </c>
      <c r="M294" s="9" t="inlineStr">
        <is>
          <t>15 min</t>
        </is>
      </c>
      <c r="N294" s="9" t="inlineStr">
        <is>
          <t>What is the limitation of Word2Vec?</t>
        </is>
      </c>
      <c r="O294" s="9" t="inlineStr">
        <is>
          <t>15 min</t>
        </is>
      </c>
      <c r="P294" s="9" t="inlineStr">
        <is>
          <t>Explain the transition from basic NLP to Word2Vec models.</t>
        </is>
      </c>
      <c r="Q294" s="9" t="inlineStr">
        <is>
          <t>Build/Refine code</t>
        </is>
      </c>
      <c r="R294" s="9" t="inlineStr">
        <is>
          <t>-</t>
        </is>
      </c>
      <c r="S294" s="10" t="inlineStr">
        <is>
          <t>☐ Not Started</t>
        </is>
      </c>
      <c r="T294" s="10">
        <f>IF(S294="☑ Completed", "COMPLETED", "NOT STARTED")</f>
        <v/>
      </c>
      <c r="U294" s="9" t="inlineStr">
        <is>
          <t>Review Notes for Day 59</t>
        </is>
      </c>
    </row>
    <row r="295">
      <c r="A295" s="10" t="n">
        <v>59</v>
      </c>
      <c r="B295" s="10" t="inlineStr">
        <is>
          <t>2026-10-28</t>
        </is>
      </c>
      <c r="C295" s="10" t="n">
        <v>9</v>
      </c>
      <c r="D295" s="10" t="n">
        <v>2</v>
      </c>
      <c r="E295" s="9" t="inlineStr">
        <is>
          <t>Month 2</t>
        </is>
      </c>
      <c r="F295" s="9" t="inlineStr">
        <is>
          <t>NLP</t>
        </is>
      </c>
      <c r="G295" s="9" t="inlineStr">
        <is>
          <t>Basics</t>
        </is>
      </c>
      <c r="H295" s="9" t="inlineStr">
        <is>
          <t>RNN</t>
        </is>
      </c>
      <c r="I295" s="9" t="inlineStr">
        <is>
          <t>Master RNN</t>
        </is>
      </c>
      <c r="J295" s="9" t="inlineStr">
        <is>
          <t>30 min</t>
        </is>
      </c>
      <c r="K295" s="9" t="inlineStr">
        <is>
          <t>30 min</t>
        </is>
      </c>
      <c r="L295" s="9" t="inlineStr">
        <is>
          <t>Code/Implement RNN</t>
        </is>
      </c>
      <c r="M295" s="9" t="inlineStr">
        <is>
          <t>15 min</t>
        </is>
      </c>
      <c r="N295" s="9" t="inlineStr">
        <is>
          <t>What is the limitation of RNN?</t>
        </is>
      </c>
      <c r="O295" s="9" t="inlineStr">
        <is>
          <t>15 min</t>
        </is>
      </c>
      <c r="P295" s="9" t="inlineStr">
        <is>
          <t>Explain the transition from basic NLP to RNN models.</t>
        </is>
      </c>
      <c r="Q295" s="9" t="inlineStr">
        <is>
          <t>Build/Refine code</t>
        </is>
      </c>
      <c r="R295" s="9" t="inlineStr">
        <is>
          <t>-</t>
        </is>
      </c>
      <c r="S295" s="10" t="inlineStr">
        <is>
          <t>☐ Not Started</t>
        </is>
      </c>
      <c r="T295" s="10">
        <f>IF(S295="☑ Completed", "COMPLETED", "NOT STARTED")</f>
        <v/>
      </c>
      <c r="U295" s="9" t="inlineStr">
        <is>
          <t>Review Notes for Day 59</t>
        </is>
      </c>
    </row>
    <row r="296">
      <c r="A296" s="10" t="n">
        <v>59</v>
      </c>
      <c r="B296" s="10" t="inlineStr">
        <is>
          <t>2026-10-28</t>
        </is>
      </c>
      <c r="C296" s="10" t="n">
        <v>9</v>
      </c>
      <c r="D296" s="10" t="n">
        <v>2</v>
      </c>
      <c r="E296" s="9" t="inlineStr">
        <is>
          <t>Month 2</t>
        </is>
      </c>
      <c r="F296" s="9" t="inlineStr">
        <is>
          <t>NLP</t>
        </is>
      </c>
      <c r="G296" s="9" t="inlineStr">
        <is>
          <t>Basics</t>
        </is>
      </c>
      <c r="H296" s="9" t="inlineStr">
        <is>
          <t>LSTM</t>
        </is>
      </c>
      <c r="I296" s="9" t="inlineStr">
        <is>
          <t>Master LSTM</t>
        </is>
      </c>
      <c r="J296" s="9" t="inlineStr">
        <is>
          <t>30 min</t>
        </is>
      </c>
      <c r="K296" s="9" t="inlineStr">
        <is>
          <t>30 min</t>
        </is>
      </c>
      <c r="L296" s="9" t="inlineStr">
        <is>
          <t>Code/Implement LSTM</t>
        </is>
      </c>
      <c r="M296" s="9" t="inlineStr">
        <is>
          <t>15 min</t>
        </is>
      </c>
      <c r="N296" s="9" t="inlineStr">
        <is>
          <t>What is the limitation of LSTM?</t>
        </is>
      </c>
      <c r="O296" s="9" t="inlineStr">
        <is>
          <t>15 min</t>
        </is>
      </c>
      <c r="P296" s="9" t="inlineStr">
        <is>
          <t>Explain the transition from basic NLP to LSTM models.</t>
        </is>
      </c>
      <c r="Q296" s="9" t="inlineStr">
        <is>
          <t>Build/Refine code</t>
        </is>
      </c>
      <c r="R296" s="9" t="inlineStr">
        <is>
          <t>-</t>
        </is>
      </c>
      <c r="S296" s="10" t="inlineStr">
        <is>
          <t>☐ Not Started</t>
        </is>
      </c>
      <c r="T296" s="10">
        <f>IF(S296="☑ Completed", "COMPLETED", "NOT STARTED")</f>
        <v/>
      </c>
      <c r="U296" s="9" t="inlineStr">
        <is>
          <t>Review Notes for Day 59</t>
        </is>
      </c>
    </row>
    <row r="297">
      <c r="A297" s="10" t="n">
        <v>60</v>
      </c>
      <c r="B297" s="10" t="inlineStr">
        <is>
          <t>2026-10-29</t>
        </is>
      </c>
      <c r="C297" s="10" t="n">
        <v>9</v>
      </c>
      <c r="D297" s="10" t="n">
        <v>2</v>
      </c>
      <c r="E297" s="9" t="inlineStr">
        <is>
          <t>Month 2</t>
        </is>
      </c>
      <c r="F297" s="9" t="inlineStr">
        <is>
          <t>NLP</t>
        </is>
      </c>
      <c r="G297" s="9" t="inlineStr">
        <is>
          <t>Basics</t>
        </is>
      </c>
      <c r="H297" s="9" t="inlineStr">
        <is>
          <t>GRU</t>
        </is>
      </c>
      <c r="I297" s="9" t="inlineStr">
        <is>
          <t>Master GRU</t>
        </is>
      </c>
      <c r="J297" s="9" t="inlineStr">
        <is>
          <t>45 min</t>
        </is>
      </c>
      <c r="K297" s="9" t="inlineStr">
        <is>
          <t>45 min</t>
        </is>
      </c>
      <c r="L297" s="9" t="inlineStr">
        <is>
          <t>Code/Implement GRU</t>
        </is>
      </c>
      <c r="M297" s="9" t="inlineStr">
        <is>
          <t>15 min</t>
        </is>
      </c>
      <c r="N297" s="9" t="inlineStr">
        <is>
          <t>What is the limitation of GRU?</t>
        </is>
      </c>
      <c r="O297" s="9" t="inlineStr">
        <is>
          <t>15 min</t>
        </is>
      </c>
      <c r="P297" s="9" t="inlineStr">
        <is>
          <t>Explain the transition from basic NLP to GRU models.</t>
        </is>
      </c>
      <c r="Q297" s="9" t="inlineStr">
        <is>
          <t>Build/Refine code</t>
        </is>
      </c>
      <c r="R297" s="9" t="n">
        <v>12</v>
      </c>
      <c r="S297" s="10" t="inlineStr">
        <is>
          <t>☐ Not Started</t>
        </is>
      </c>
      <c r="T297" s="10">
        <f>IF(S297="☑ Completed", "COMPLETED", "NOT STARTED")</f>
        <v/>
      </c>
      <c r="U297" s="9" t="inlineStr">
        <is>
          <t>Review Notes for Day 60</t>
        </is>
      </c>
    </row>
    <row r="298">
      <c r="A298" s="10" t="n">
        <v>60</v>
      </c>
      <c r="B298" s="10" t="inlineStr">
        <is>
          <t>2026-10-29</t>
        </is>
      </c>
      <c r="C298" s="10" t="n">
        <v>9</v>
      </c>
      <c r="D298" s="10" t="n">
        <v>2</v>
      </c>
      <c r="E298" s="9" t="inlineStr">
        <is>
          <t>Month 2</t>
        </is>
      </c>
      <c r="F298" s="9" t="inlineStr">
        <is>
          <t>NLP</t>
        </is>
      </c>
      <c r="G298" s="9" t="inlineStr">
        <is>
          <t>Basics</t>
        </is>
      </c>
      <c r="H298" s="9" t="inlineStr">
        <is>
          <t>Attention</t>
        </is>
      </c>
      <c r="I298" s="9" t="inlineStr">
        <is>
          <t>Master Attention</t>
        </is>
      </c>
      <c r="J298" s="9" t="inlineStr">
        <is>
          <t>30 min</t>
        </is>
      </c>
      <c r="K298" s="9" t="inlineStr">
        <is>
          <t>30 min</t>
        </is>
      </c>
      <c r="L298" s="9" t="inlineStr">
        <is>
          <t>Code/Implement Attention</t>
        </is>
      </c>
      <c r="M298" s="9" t="inlineStr">
        <is>
          <t>15 min</t>
        </is>
      </c>
      <c r="N298" s="9" t="inlineStr">
        <is>
          <t>What is the limitation of Attention?</t>
        </is>
      </c>
      <c r="O298" s="9" t="inlineStr">
        <is>
          <t>15 min</t>
        </is>
      </c>
      <c r="P298" s="9" t="inlineStr">
        <is>
          <t>Explain the transition from basic NLP to Attention models.</t>
        </is>
      </c>
      <c r="Q298" s="9" t="inlineStr">
        <is>
          <t>Build/Refine code</t>
        </is>
      </c>
      <c r="R298" s="9" t="inlineStr">
        <is>
          <t>-</t>
        </is>
      </c>
      <c r="S298" s="10" t="inlineStr">
        <is>
          <t>☐ Not Started</t>
        </is>
      </c>
      <c r="T298" s="10">
        <f>IF(S298="☑ Completed", "COMPLETED", "NOT STARTED")</f>
        <v/>
      </c>
      <c r="U298" s="9" t="inlineStr">
        <is>
          <t>Review Notes for Day 60</t>
        </is>
      </c>
    </row>
    <row r="299">
      <c r="A299" s="10" t="n">
        <v>60</v>
      </c>
      <c r="B299" s="10" t="inlineStr">
        <is>
          <t>2026-10-29</t>
        </is>
      </c>
      <c r="C299" s="10" t="n">
        <v>9</v>
      </c>
      <c r="D299" s="10" t="n">
        <v>2</v>
      </c>
      <c r="E299" s="9" t="inlineStr">
        <is>
          <t>Month 2</t>
        </is>
      </c>
      <c r="F299" s="9" t="inlineStr">
        <is>
          <t>Project Practice</t>
        </is>
      </c>
      <c r="G299" s="9" t="inlineStr">
        <is>
          <t>Revision</t>
        </is>
      </c>
      <c r="H299" s="9" t="inlineStr">
        <is>
          <t>Understand project architecture</t>
        </is>
      </c>
      <c r="I299" s="9" t="inlineStr">
        <is>
          <t>Master Understand project architecture</t>
        </is>
      </c>
      <c r="J299" s="9" t="inlineStr">
        <is>
          <t>30 min</t>
        </is>
      </c>
      <c r="K299" s="9" t="inlineStr">
        <is>
          <t>30 min</t>
        </is>
      </c>
      <c r="L299" s="9" t="inlineStr">
        <is>
          <t>Code/Implement Understand project architecture</t>
        </is>
      </c>
      <c r="M299" s="9" t="inlineStr">
        <is>
          <t>15 min</t>
        </is>
      </c>
      <c r="N299" s="9" t="inlineStr">
        <is>
          <t>What challenges did you face with Understand project architecture?</t>
        </is>
      </c>
      <c r="O299" s="9" t="inlineStr">
        <is>
          <t>15 min</t>
        </is>
      </c>
      <c r="P299" s="9" t="inlineStr">
        <is>
          <t>Present a summary of Understand project architecture from your past project.</t>
        </is>
      </c>
      <c r="Q299" s="9" t="inlineStr">
        <is>
          <t>Build/Refine code</t>
        </is>
      </c>
      <c r="R299" s="9" t="inlineStr">
        <is>
          <t>-</t>
        </is>
      </c>
      <c r="S299" s="10" t="inlineStr">
        <is>
          <t>☐ Not Started</t>
        </is>
      </c>
      <c r="T299" s="10">
        <f>IF(S299="☑ Completed", "COMPLETED", "NOT STARTED")</f>
        <v/>
      </c>
      <c r="U299" s="9" t="inlineStr">
        <is>
          <t>Review Notes for Day 60</t>
        </is>
      </c>
    </row>
    <row r="300">
      <c r="A300" s="10" t="n">
        <v>60</v>
      </c>
      <c r="B300" s="10" t="inlineStr">
        <is>
          <t>2026-10-29</t>
        </is>
      </c>
      <c r="C300" s="10" t="n">
        <v>9</v>
      </c>
      <c r="D300" s="10" t="n">
        <v>2</v>
      </c>
      <c r="E300" s="9" t="inlineStr">
        <is>
          <t>Month 2</t>
        </is>
      </c>
      <c r="F300" s="9" t="inlineStr">
        <is>
          <t>Project Practice</t>
        </is>
      </c>
      <c r="G300" s="9" t="inlineStr">
        <is>
          <t>Revision</t>
        </is>
      </c>
      <c r="H300" s="9" t="inlineStr">
        <is>
          <t>Understand dataset</t>
        </is>
      </c>
      <c r="I300" s="9" t="inlineStr">
        <is>
          <t>Master Understand dataset</t>
        </is>
      </c>
      <c r="J300" s="9" t="inlineStr">
        <is>
          <t>30 min</t>
        </is>
      </c>
      <c r="K300" s="9" t="inlineStr">
        <is>
          <t>30 min</t>
        </is>
      </c>
      <c r="L300" s="9" t="inlineStr">
        <is>
          <t>Code/Implement Understand dataset</t>
        </is>
      </c>
      <c r="M300" s="9" t="inlineStr">
        <is>
          <t>15 min</t>
        </is>
      </c>
      <c r="N300" s="9" t="inlineStr">
        <is>
          <t>What challenges did you face with Understand dataset?</t>
        </is>
      </c>
      <c r="O300" s="9" t="inlineStr">
        <is>
          <t>15 min</t>
        </is>
      </c>
      <c r="P300" s="9" t="inlineStr">
        <is>
          <t>Present a summary of Understand dataset from your past project.</t>
        </is>
      </c>
      <c r="Q300" s="9" t="inlineStr">
        <is>
          <t>Build/Refine code</t>
        </is>
      </c>
      <c r="R300" s="9" t="inlineStr">
        <is>
          <t>-</t>
        </is>
      </c>
      <c r="S300" s="10" t="inlineStr">
        <is>
          <t>☐ Not Started</t>
        </is>
      </c>
      <c r="T300" s="10">
        <f>IF(S300="☑ Completed", "COMPLETED", "NOT STARTED")</f>
        <v/>
      </c>
      <c r="U300" s="9" t="inlineStr">
        <is>
          <t>Review Notes for Day 60</t>
        </is>
      </c>
    </row>
    <row r="301">
      <c r="A301" s="10" t="n">
        <v>60</v>
      </c>
      <c r="B301" s="10" t="inlineStr">
        <is>
          <t>2026-10-29</t>
        </is>
      </c>
      <c r="C301" s="10" t="n">
        <v>9</v>
      </c>
      <c r="D301" s="10" t="n">
        <v>2</v>
      </c>
      <c r="E301" s="9" t="inlineStr">
        <is>
          <t>Month 2</t>
        </is>
      </c>
      <c r="F301" s="9" t="inlineStr">
        <is>
          <t>Project Practice</t>
        </is>
      </c>
      <c r="G301" s="9" t="inlineStr">
        <is>
          <t>Revision</t>
        </is>
      </c>
      <c r="H301" s="9" t="inlineStr">
        <is>
          <t>Understand preprocessing</t>
        </is>
      </c>
      <c r="I301" s="9" t="inlineStr">
        <is>
          <t>Master Understand preprocessing</t>
        </is>
      </c>
      <c r="J301" s="9" t="inlineStr">
        <is>
          <t>30 min</t>
        </is>
      </c>
      <c r="K301" s="9" t="inlineStr">
        <is>
          <t>30 min</t>
        </is>
      </c>
      <c r="L301" s="9" t="inlineStr">
        <is>
          <t>Code/Implement Understand preprocessing</t>
        </is>
      </c>
      <c r="M301" s="9" t="inlineStr">
        <is>
          <t>15 min</t>
        </is>
      </c>
      <c r="N301" s="9" t="inlineStr">
        <is>
          <t>What challenges did you face with Understand preprocessing?</t>
        </is>
      </c>
      <c r="O301" s="9" t="inlineStr">
        <is>
          <t>15 min</t>
        </is>
      </c>
      <c r="P301" s="9" t="inlineStr">
        <is>
          <t>Present a summary of Understand preprocessing from your past project.</t>
        </is>
      </c>
      <c r="Q301" s="9" t="inlineStr">
        <is>
          <t>Build/Refine code</t>
        </is>
      </c>
      <c r="R301" s="9" t="inlineStr">
        <is>
          <t>-</t>
        </is>
      </c>
      <c r="S301" s="10" t="inlineStr">
        <is>
          <t>☐ Not Started</t>
        </is>
      </c>
      <c r="T301" s="10">
        <f>IF(S301="☑ Completed", "COMPLETED", "NOT STARTED")</f>
        <v/>
      </c>
      <c r="U301" s="9" t="inlineStr">
        <is>
          <t>Review Notes for Day 60</t>
        </is>
      </c>
    </row>
    <row r="302">
      <c r="A302" s="10" t="n">
        <v>61</v>
      </c>
      <c r="B302" s="10" t="inlineStr">
        <is>
          <t>2026-10-30</t>
        </is>
      </c>
      <c r="C302" s="10" t="n">
        <v>9</v>
      </c>
      <c r="D302" s="10" t="n">
        <v>3</v>
      </c>
      <c r="E302" s="9" t="inlineStr">
        <is>
          <t>Month 2</t>
        </is>
      </c>
      <c r="F302" s="9" t="inlineStr">
        <is>
          <t>Project Practice</t>
        </is>
      </c>
      <c r="G302" s="9" t="inlineStr">
        <is>
          <t>Revision</t>
        </is>
      </c>
      <c r="H302" s="9" t="inlineStr">
        <is>
          <t>Understand model</t>
        </is>
      </c>
      <c r="I302" s="9" t="inlineStr">
        <is>
          <t>Master Understand model</t>
        </is>
      </c>
      <c r="J302" s="9" t="inlineStr">
        <is>
          <t>45 min</t>
        </is>
      </c>
      <c r="K302" s="9" t="inlineStr">
        <is>
          <t>45 min</t>
        </is>
      </c>
      <c r="L302" s="9" t="inlineStr">
        <is>
          <t>Code/Implement Understand model</t>
        </is>
      </c>
      <c r="M302" s="9" t="inlineStr">
        <is>
          <t>15 min</t>
        </is>
      </c>
      <c r="N302" s="9" t="inlineStr">
        <is>
          <t>What challenges did you face with Understand model?</t>
        </is>
      </c>
      <c r="O302" s="9" t="inlineStr">
        <is>
          <t>15 min</t>
        </is>
      </c>
      <c r="P302" s="9" t="inlineStr">
        <is>
          <t>Present a summary of Understand model from your past project.</t>
        </is>
      </c>
      <c r="Q302" s="9" t="inlineStr">
        <is>
          <t>Build/Refine code</t>
        </is>
      </c>
      <c r="R302" s="9" t="n">
        <v>15</v>
      </c>
      <c r="S302" s="10" t="inlineStr">
        <is>
          <t>☐ Not Started</t>
        </is>
      </c>
      <c r="T302" s="10">
        <f>IF(S302="☑ Completed", "COMPLETED", "NOT STARTED")</f>
        <v/>
      </c>
      <c r="U302" s="9" t="inlineStr">
        <is>
          <t>Review Notes for Day 61</t>
        </is>
      </c>
    </row>
    <row r="303">
      <c r="A303" s="10" t="n">
        <v>61</v>
      </c>
      <c r="B303" s="10" t="inlineStr">
        <is>
          <t>2026-10-30</t>
        </is>
      </c>
      <c r="C303" s="10" t="n">
        <v>9</v>
      </c>
      <c r="D303" s="10" t="n">
        <v>3</v>
      </c>
      <c r="E303" s="9" t="inlineStr">
        <is>
          <t>Month 2</t>
        </is>
      </c>
      <c r="F303" s="9" t="inlineStr">
        <is>
          <t>Project Practice</t>
        </is>
      </c>
      <c r="G303" s="9" t="inlineStr">
        <is>
          <t>Revision</t>
        </is>
      </c>
      <c r="H303" s="9" t="inlineStr">
        <is>
          <t>Understand training</t>
        </is>
      </c>
      <c r="I303" s="9" t="inlineStr">
        <is>
          <t>Master Understand training</t>
        </is>
      </c>
      <c r="J303" s="9" t="inlineStr">
        <is>
          <t>30 min</t>
        </is>
      </c>
      <c r="K303" s="9" t="inlineStr">
        <is>
          <t>30 min</t>
        </is>
      </c>
      <c r="L303" s="9" t="inlineStr">
        <is>
          <t>Code/Implement Understand training</t>
        </is>
      </c>
      <c r="M303" s="9" t="inlineStr">
        <is>
          <t>15 min</t>
        </is>
      </c>
      <c r="N303" s="9" t="inlineStr">
        <is>
          <t>What challenges did you face with Understand training?</t>
        </is>
      </c>
      <c r="O303" s="9" t="inlineStr">
        <is>
          <t>15 min</t>
        </is>
      </c>
      <c r="P303" s="9" t="inlineStr">
        <is>
          <t>Present a summary of Understand training from your past project.</t>
        </is>
      </c>
      <c r="Q303" s="9" t="inlineStr">
        <is>
          <t>Build/Refine code</t>
        </is>
      </c>
      <c r="R303" s="9" t="inlineStr">
        <is>
          <t>-</t>
        </is>
      </c>
      <c r="S303" s="10" t="inlineStr">
        <is>
          <t>☐ Not Started</t>
        </is>
      </c>
      <c r="T303" s="10">
        <f>IF(S303="☑ Completed", "COMPLETED", "NOT STARTED")</f>
        <v/>
      </c>
      <c r="U303" s="9" t="inlineStr">
        <is>
          <t>Review Notes for Day 61</t>
        </is>
      </c>
    </row>
    <row r="304">
      <c r="A304" s="10" t="n">
        <v>61</v>
      </c>
      <c r="B304" s="10" t="inlineStr">
        <is>
          <t>2026-10-30</t>
        </is>
      </c>
      <c r="C304" s="10" t="n">
        <v>9</v>
      </c>
      <c r="D304" s="10" t="n">
        <v>3</v>
      </c>
      <c r="E304" s="9" t="inlineStr">
        <is>
          <t>Month 2</t>
        </is>
      </c>
      <c r="F304" s="9" t="inlineStr">
        <is>
          <t>Project Practice</t>
        </is>
      </c>
      <c r="G304" s="9" t="inlineStr">
        <is>
          <t>Revision</t>
        </is>
      </c>
      <c r="H304" s="9" t="inlineStr">
        <is>
          <t>Understand inference</t>
        </is>
      </c>
      <c r="I304" s="9" t="inlineStr">
        <is>
          <t>Master Understand inference</t>
        </is>
      </c>
      <c r="J304" s="9" t="inlineStr">
        <is>
          <t>30 min</t>
        </is>
      </c>
      <c r="K304" s="9" t="inlineStr">
        <is>
          <t>30 min</t>
        </is>
      </c>
      <c r="L304" s="9" t="inlineStr">
        <is>
          <t>Code/Implement Understand inference</t>
        </is>
      </c>
      <c r="M304" s="9" t="inlineStr">
        <is>
          <t>15 min</t>
        </is>
      </c>
      <c r="N304" s="9" t="inlineStr">
        <is>
          <t>What challenges did you face with Understand inference?</t>
        </is>
      </c>
      <c r="O304" s="9" t="inlineStr">
        <is>
          <t>15 min</t>
        </is>
      </c>
      <c r="P304" s="9" t="inlineStr">
        <is>
          <t>Present a summary of Understand inference from your past project.</t>
        </is>
      </c>
      <c r="Q304" s="9" t="inlineStr">
        <is>
          <t>Build/Refine code</t>
        </is>
      </c>
      <c r="R304" s="9" t="inlineStr">
        <is>
          <t>-</t>
        </is>
      </c>
      <c r="S304" s="10" t="inlineStr">
        <is>
          <t>☐ Not Started</t>
        </is>
      </c>
      <c r="T304" s="10">
        <f>IF(S304="☑ Completed", "COMPLETED", "NOT STARTED")</f>
        <v/>
      </c>
      <c r="U304" s="9" t="inlineStr">
        <is>
          <t>Review Notes for Day 61</t>
        </is>
      </c>
    </row>
    <row r="305">
      <c r="A305" s="10" t="n">
        <v>61</v>
      </c>
      <c r="B305" s="10" t="inlineStr">
        <is>
          <t>2026-10-30</t>
        </is>
      </c>
      <c r="C305" s="10" t="n">
        <v>9</v>
      </c>
      <c r="D305" s="10" t="n">
        <v>3</v>
      </c>
      <c r="E305" s="9" t="inlineStr">
        <is>
          <t>Month 2</t>
        </is>
      </c>
      <c r="F305" s="9" t="inlineStr">
        <is>
          <t>Project Practice</t>
        </is>
      </c>
      <c r="G305" s="9" t="inlineStr">
        <is>
          <t>Revision</t>
        </is>
      </c>
      <c r="H305" s="9" t="inlineStr">
        <is>
          <t>Understand evaluation</t>
        </is>
      </c>
      <c r="I305" s="9" t="inlineStr">
        <is>
          <t>Master Understand evaluation</t>
        </is>
      </c>
      <c r="J305" s="9" t="inlineStr">
        <is>
          <t>30 min</t>
        </is>
      </c>
      <c r="K305" s="9" t="inlineStr">
        <is>
          <t>30 min</t>
        </is>
      </c>
      <c r="L305" s="9" t="inlineStr">
        <is>
          <t>Code/Implement Understand evaluation</t>
        </is>
      </c>
      <c r="M305" s="9" t="inlineStr">
        <is>
          <t>15 min</t>
        </is>
      </c>
      <c r="N305" s="9" t="inlineStr">
        <is>
          <t>What challenges did you face with Understand evaluation?</t>
        </is>
      </c>
      <c r="O305" s="9" t="inlineStr">
        <is>
          <t>15 min</t>
        </is>
      </c>
      <c r="P305" s="9" t="inlineStr">
        <is>
          <t>Present a summary of Understand evaluation from your past project.</t>
        </is>
      </c>
      <c r="Q305" s="9" t="inlineStr">
        <is>
          <t>Build/Refine code</t>
        </is>
      </c>
      <c r="R305" s="9" t="inlineStr">
        <is>
          <t>-</t>
        </is>
      </c>
      <c r="S305" s="10" t="inlineStr">
        <is>
          <t>☐ Not Started</t>
        </is>
      </c>
      <c r="T305" s="10">
        <f>IF(S305="☑ Completed", "COMPLETED", "NOT STARTED")</f>
        <v/>
      </c>
      <c r="U305" s="9" t="inlineStr">
        <is>
          <t>Review Notes for Day 61</t>
        </is>
      </c>
    </row>
    <row r="306">
      <c r="A306" s="10" t="n">
        <v>61</v>
      </c>
      <c r="B306" s="10" t="inlineStr">
        <is>
          <t>2026-10-30</t>
        </is>
      </c>
      <c r="C306" s="10" t="n">
        <v>9</v>
      </c>
      <c r="D306" s="10" t="n">
        <v>3</v>
      </c>
      <c r="E306" s="9" t="inlineStr">
        <is>
          <t>Month 2</t>
        </is>
      </c>
      <c r="F306" s="9" t="inlineStr">
        <is>
          <t>Project Practice</t>
        </is>
      </c>
      <c r="G306" s="9" t="inlineStr">
        <is>
          <t>Revision</t>
        </is>
      </c>
      <c r="H306" s="9" t="inlineStr">
        <is>
          <t>Run project locally</t>
        </is>
      </c>
      <c r="I306" s="9" t="inlineStr">
        <is>
          <t>Master Run project locally</t>
        </is>
      </c>
      <c r="J306" s="9" t="inlineStr">
        <is>
          <t>30 min</t>
        </is>
      </c>
      <c r="K306" s="9" t="inlineStr">
        <is>
          <t>30 min</t>
        </is>
      </c>
      <c r="L306" s="9" t="inlineStr">
        <is>
          <t>Code/Implement Run project locally</t>
        </is>
      </c>
      <c r="M306" s="9" t="inlineStr">
        <is>
          <t>15 min</t>
        </is>
      </c>
      <c r="N306" s="9" t="inlineStr">
        <is>
          <t>What challenges did you face with Run project locally?</t>
        </is>
      </c>
      <c r="O306" s="9" t="inlineStr">
        <is>
          <t>15 min</t>
        </is>
      </c>
      <c r="P306" s="9" t="inlineStr">
        <is>
          <t>Present a summary of Run project locally from your past project.</t>
        </is>
      </c>
      <c r="Q306" s="9" t="inlineStr">
        <is>
          <t>Build/Refine code</t>
        </is>
      </c>
      <c r="R306" s="9" t="inlineStr">
        <is>
          <t>-</t>
        </is>
      </c>
      <c r="S306" s="10" t="inlineStr">
        <is>
          <t>☐ Not Started</t>
        </is>
      </c>
      <c r="T306" s="10">
        <f>IF(S306="☑ Completed", "COMPLETED", "NOT STARTED")</f>
        <v/>
      </c>
      <c r="U306" s="9" t="inlineStr">
        <is>
          <t>Review Notes for Day 61</t>
        </is>
      </c>
    </row>
    <row r="307">
      <c r="A307" s="10" t="n">
        <v>62</v>
      </c>
      <c r="B307" s="10" t="inlineStr">
        <is>
          <t>2026-10-31</t>
        </is>
      </c>
      <c r="C307" s="10" t="n">
        <v>9</v>
      </c>
      <c r="D307" s="10" t="n">
        <v>3</v>
      </c>
      <c r="E307" s="9" t="inlineStr">
        <is>
          <t>Month 2</t>
        </is>
      </c>
      <c r="F307" s="9" t="inlineStr">
        <is>
          <t>Project Practice</t>
        </is>
      </c>
      <c r="G307" s="9" t="inlineStr">
        <is>
          <t>Revision</t>
        </is>
      </c>
      <c r="H307" s="9" t="inlineStr">
        <is>
          <t>Fix one bug</t>
        </is>
      </c>
      <c r="I307" s="9" t="inlineStr">
        <is>
          <t>Master Fix one bug</t>
        </is>
      </c>
      <c r="J307" s="9" t="inlineStr">
        <is>
          <t>45 min</t>
        </is>
      </c>
      <c r="K307" s="9" t="inlineStr">
        <is>
          <t>45 min</t>
        </is>
      </c>
      <c r="L307" s="9" t="inlineStr">
        <is>
          <t>Code/Implement Fix one bug</t>
        </is>
      </c>
      <c r="M307" s="9" t="inlineStr">
        <is>
          <t>15 min</t>
        </is>
      </c>
      <c r="N307" s="9" t="inlineStr">
        <is>
          <t>What challenges did you face with Fix one bug?</t>
        </is>
      </c>
      <c r="O307" s="9" t="inlineStr">
        <is>
          <t>15 min</t>
        </is>
      </c>
      <c r="P307" s="9" t="inlineStr">
        <is>
          <t>Present a summary of Fix one bug from your past project.</t>
        </is>
      </c>
      <c r="Q307" s="9" t="inlineStr">
        <is>
          <t>Build/Refine code</t>
        </is>
      </c>
      <c r="R307" s="9" t="n">
        <v>15</v>
      </c>
      <c r="S307" s="10" t="inlineStr">
        <is>
          <t>☐ Not Started</t>
        </is>
      </c>
      <c r="T307" s="10">
        <f>IF(S307="☑ Completed", "COMPLETED", "NOT STARTED")</f>
        <v/>
      </c>
      <c r="U307" s="9" t="inlineStr">
        <is>
          <t>Review Notes for Day 62</t>
        </is>
      </c>
    </row>
    <row r="308">
      <c r="A308" s="10" t="n">
        <v>62</v>
      </c>
      <c r="B308" s="10" t="inlineStr">
        <is>
          <t>2026-10-31</t>
        </is>
      </c>
      <c r="C308" s="10" t="n">
        <v>9</v>
      </c>
      <c r="D308" s="10" t="n">
        <v>3</v>
      </c>
      <c r="E308" s="9" t="inlineStr">
        <is>
          <t>Month 2</t>
        </is>
      </c>
      <c r="F308" s="9" t="inlineStr">
        <is>
          <t>Project Practice</t>
        </is>
      </c>
      <c r="G308" s="9" t="inlineStr">
        <is>
          <t>Revision</t>
        </is>
      </c>
      <c r="H308" s="9" t="inlineStr">
        <is>
          <t>Improve README</t>
        </is>
      </c>
      <c r="I308" s="9" t="inlineStr">
        <is>
          <t>Master Improve README</t>
        </is>
      </c>
      <c r="J308" s="9" t="inlineStr">
        <is>
          <t>30 min</t>
        </is>
      </c>
      <c r="K308" s="9" t="inlineStr">
        <is>
          <t>30 min</t>
        </is>
      </c>
      <c r="L308" s="9" t="inlineStr">
        <is>
          <t>Code/Implement Improve README</t>
        </is>
      </c>
      <c r="M308" s="9" t="inlineStr">
        <is>
          <t>15 min</t>
        </is>
      </c>
      <c r="N308" s="9" t="inlineStr">
        <is>
          <t>What challenges did you face with Improve README?</t>
        </is>
      </c>
      <c r="O308" s="9" t="inlineStr">
        <is>
          <t>15 min</t>
        </is>
      </c>
      <c r="P308" s="9" t="inlineStr">
        <is>
          <t>Present a summary of Improve README from your past project.</t>
        </is>
      </c>
      <c r="Q308" s="9" t="inlineStr">
        <is>
          <t>Build/Refine code</t>
        </is>
      </c>
      <c r="R308" s="9" t="inlineStr">
        <is>
          <t>-</t>
        </is>
      </c>
      <c r="S308" s="10" t="inlineStr">
        <is>
          <t>☐ Not Started</t>
        </is>
      </c>
      <c r="T308" s="10">
        <f>IF(S308="☑ Completed", "COMPLETED", "NOT STARTED")</f>
        <v/>
      </c>
      <c r="U308" s="9" t="inlineStr">
        <is>
          <t>Review Notes for Day 62</t>
        </is>
      </c>
    </row>
    <row r="309">
      <c r="A309" s="10" t="n">
        <v>62</v>
      </c>
      <c r="B309" s="10" t="inlineStr">
        <is>
          <t>2026-10-31</t>
        </is>
      </c>
      <c r="C309" s="10" t="n">
        <v>9</v>
      </c>
      <c r="D309" s="10" t="n">
        <v>3</v>
      </c>
      <c r="E309" s="9" t="inlineStr">
        <is>
          <t>Month 2</t>
        </is>
      </c>
      <c r="F309" s="9" t="inlineStr">
        <is>
          <t>Project Practice</t>
        </is>
      </c>
      <c r="G309" s="9" t="inlineStr">
        <is>
          <t>Revision</t>
        </is>
      </c>
      <c r="H309" s="9" t="inlineStr">
        <is>
          <t>Improve UI</t>
        </is>
      </c>
      <c r="I309" s="9" t="inlineStr">
        <is>
          <t>Master Improve UI</t>
        </is>
      </c>
      <c r="J309" s="9" t="inlineStr">
        <is>
          <t>30 min</t>
        </is>
      </c>
      <c r="K309" s="9" t="inlineStr">
        <is>
          <t>30 min</t>
        </is>
      </c>
      <c r="L309" s="9" t="inlineStr">
        <is>
          <t>Code/Implement Improve UI</t>
        </is>
      </c>
      <c r="M309" s="9" t="inlineStr">
        <is>
          <t>15 min</t>
        </is>
      </c>
      <c r="N309" s="9" t="inlineStr">
        <is>
          <t>What challenges did you face with Improve UI?</t>
        </is>
      </c>
      <c r="O309" s="9" t="inlineStr">
        <is>
          <t>15 min</t>
        </is>
      </c>
      <c r="P309" s="9" t="inlineStr">
        <is>
          <t>Present a summary of Improve UI from your past project.</t>
        </is>
      </c>
      <c r="Q309" s="9" t="inlineStr">
        <is>
          <t>Build/Refine code</t>
        </is>
      </c>
      <c r="R309" s="9" t="inlineStr">
        <is>
          <t>-</t>
        </is>
      </c>
      <c r="S309" s="10" t="inlineStr">
        <is>
          <t>☐ Not Started</t>
        </is>
      </c>
      <c r="T309" s="10">
        <f>IF(S309="☑ Completed", "COMPLETED", "NOT STARTED")</f>
        <v/>
      </c>
      <c r="U309" s="9" t="inlineStr">
        <is>
          <t>Review Notes for Day 62</t>
        </is>
      </c>
    </row>
    <row r="310">
      <c r="A310" s="10" t="n">
        <v>62</v>
      </c>
      <c r="B310" s="10" t="inlineStr">
        <is>
          <t>2026-10-31</t>
        </is>
      </c>
      <c r="C310" s="10" t="n">
        <v>9</v>
      </c>
      <c r="D310" s="10" t="n">
        <v>3</v>
      </c>
      <c r="E310" s="9" t="inlineStr">
        <is>
          <t>Month 2</t>
        </is>
      </c>
      <c r="F310" s="9" t="inlineStr">
        <is>
          <t>Project Practice</t>
        </is>
      </c>
      <c r="G310" s="9" t="inlineStr">
        <is>
          <t>Revision</t>
        </is>
      </c>
      <c r="H310" s="9" t="inlineStr">
        <is>
          <t>Prepare project explanation</t>
        </is>
      </c>
      <c r="I310" s="9" t="inlineStr">
        <is>
          <t>Master Prepare project explanation</t>
        </is>
      </c>
      <c r="J310" s="9" t="inlineStr">
        <is>
          <t>30 min</t>
        </is>
      </c>
      <c r="K310" s="9" t="inlineStr">
        <is>
          <t>30 min</t>
        </is>
      </c>
      <c r="L310" s="9" t="inlineStr">
        <is>
          <t>Code/Implement Prepare project explanation</t>
        </is>
      </c>
      <c r="M310" s="9" t="inlineStr">
        <is>
          <t>15 min</t>
        </is>
      </c>
      <c r="N310" s="9" t="inlineStr">
        <is>
          <t>What challenges did you face with Prepare project explanation?</t>
        </is>
      </c>
      <c r="O310" s="9" t="inlineStr">
        <is>
          <t>15 min</t>
        </is>
      </c>
      <c r="P310" s="9" t="inlineStr">
        <is>
          <t>Present a summary of Prepare project explanation from your past project.</t>
        </is>
      </c>
      <c r="Q310" s="9" t="inlineStr">
        <is>
          <t>Build/Refine code</t>
        </is>
      </c>
      <c r="R310" s="9" t="inlineStr">
        <is>
          <t>-</t>
        </is>
      </c>
      <c r="S310" s="10" t="inlineStr">
        <is>
          <t>☐ Not Started</t>
        </is>
      </c>
      <c r="T310" s="10">
        <f>IF(S310="☑ Completed", "COMPLETED", "NOT STARTED")</f>
        <v/>
      </c>
      <c r="U310" s="9" t="inlineStr">
        <is>
          <t>Review Notes for Day 62</t>
        </is>
      </c>
    </row>
    <row r="311">
      <c r="A311" s="10" t="n">
        <v>62</v>
      </c>
      <c r="B311" s="10" t="inlineStr">
        <is>
          <t>2026-10-31</t>
        </is>
      </c>
      <c r="C311" s="10" t="n">
        <v>9</v>
      </c>
      <c r="D311" s="10" t="n">
        <v>3</v>
      </c>
      <c r="E311" s="9" t="inlineStr">
        <is>
          <t>Month 2</t>
        </is>
      </c>
      <c r="F311" s="9" t="inlineStr">
        <is>
          <t>Project Practice</t>
        </is>
      </c>
      <c r="G311" s="9" t="inlineStr">
        <is>
          <t>Revision</t>
        </is>
      </c>
      <c r="H311" s="9" t="inlineStr">
        <is>
          <t>Prepare interview questions</t>
        </is>
      </c>
      <c r="I311" s="9" t="inlineStr">
        <is>
          <t>Master Prepare interview questions</t>
        </is>
      </c>
      <c r="J311" s="9" t="inlineStr">
        <is>
          <t>30 min</t>
        </is>
      </c>
      <c r="K311" s="9" t="inlineStr">
        <is>
          <t>30 min</t>
        </is>
      </c>
      <c r="L311" s="9" t="inlineStr">
        <is>
          <t>Code/Implement Prepare interview questions</t>
        </is>
      </c>
      <c r="M311" s="9" t="inlineStr">
        <is>
          <t>15 min</t>
        </is>
      </c>
      <c r="N311" s="9" t="inlineStr">
        <is>
          <t>What challenges did you face with Prepare interview questions?</t>
        </is>
      </c>
      <c r="O311" s="9" t="inlineStr">
        <is>
          <t>15 min</t>
        </is>
      </c>
      <c r="P311" s="9" t="inlineStr">
        <is>
          <t>Present a summary of Prepare interview questions from your past project.</t>
        </is>
      </c>
      <c r="Q311" s="9" t="inlineStr">
        <is>
          <t>Build/Refine code</t>
        </is>
      </c>
      <c r="R311" s="9" t="inlineStr">
        <is>
          <t>-</t>
        </is>
      </c>
      <c r="S311" s="10" t="inlineStr">
        <is>
          <t>☐ Not Started</t>
        </is>
      </c>
      <c r="T311" s="10">
        <f>IF(S311="☑ Completed", "COMPLETED", "NOT STARTED")</f>
        <v/>
      </c>
      <c r="U311" s="9" t="inlineStr">
        <is>
          <t>Review Notes for Day 62</t>
        </is>
      </c>
    </row>
    <row r="312">
      <c r="A312" s="10" t="n">
        <v>63</v>
      </c>
      <c r="B312" s="10" t="inlineStr">
        <is>
          <t>2026-11-01</t>
        </is>
      </c>
      <c r="C312" s="10" t="n">
        <v>9</v>
      </c>
      <c r="D312" s="10" t="n">
        <v>3</v>
      </c>
      <c r="E312" s="9" t="inlineStr">
        <is>
          <t>Month 3</t>
        </is>
      </c>
      <c r="F312" s="9" t="inlineStr">
        <is>
          <t>Generative AI</t>
        </is>
      </c>
      <c r="G312" s="9" t="inlineStr">
        <is>
          <t>Basics</t>
        </is>
      </c>
      <c r="H312" s="9" t="inlineStr">
        <is>
          <t>Generative AI</t>
        </is>
      </c>
      <c r="I312" s="9" t="inlineStr">
        <is>
          <t>Master Generative AI</t>
        </is>
      </c>
      <c r="J312" s="9" t="inlineStr">
        <is>
          <t>45 min</t>
        </is>
      </c>
      <c r="K312" s="9" t="inlineStr">
        <is>
          <t>45 min</t>
        </is>
      </c>
      <c r="L312" s="9" t="inlineStr">
        <is>
          <t>Code/Implement Generative AI</t>
        </is>
      </c>
      <c r="M312" s="9" t="inlineStr">
        <is>
          <t>15 min</t>
        </is>
      </c>
      <c r="N312" s="9" t="inlineStr">
        <is>
          <t>How does Generative AI affect LLM output?</t>
        </is>
      </c>
      <c r="O312" s="9" t="inlineStr">
        <is>
          <t>15 min</t>
        </is>
      </c>
      <c r="P312" s="9" t="inlineStr">
        <is>
          <t>Explain what Generative AI means in Generative AI.</t>
        </is>
      </c>
      <c r="Q312" s="9" t="inlineStr">
        <is>
          <t>Build/Refine code</t>
        </is>
      </c>
      <c r="R312" s="9" t="n">
        <v>15</v>
      </c>
      <c r="S312" s="10" t="inlineStr">
        <is>
          <t>☐ Not Started</t>
        </is>
      </c>
      <c r="T312" s="10">
        <f>IF(S312="☑ Completed", "COMPLETED", "NOT STARTED")</f>
        <v/>
      </c>
      <c r="U312" s="9" t="inlineStr">
        <is>
          <t>Review Notes for Day 63</t>
        </is>
      </c>
    </row>
    <row r="313">
      <c r="A313" s="10" t="n">
        <v>63</v>
      </c>
      <c r="B313" s="10" t="inlineStr">
        <is>
          <t>2026-11-01</t>
        </is>
      </c>
      <c r="C313" s="10" t="n">
        <v>9</v>
      </c>
      <c r="D313" s="10" t="n">
        <v>3</v>
      </c>
      <c r="E313" s="9" t="inlineStr">
        <is>
          <t>Month 3</t>
        </is>
      </c>
      <c r="F313" s="9" t="inlineStr">
        <is>
          <t>Generative AI</t>
        </is>
      </c>
      <c r="G313" s="9" t="inlineStr">
        <is>
          <t>Basics</t>
        </is>
      </c>
      <c r="H313" s="9" t="inlineStr">
        <is>
          <t>LLM</t>
        </is>
      </c>
      <c r="I313" s="9" t="inlineStr">
        <is>
          <t>Master LLM</t>
        </is>
      </c>
      <c r="J313" s="9" t="inlineStr">
        <is>
          <t>30 min</t>
        </is>
      </c>
      <c r="K313" s="9" t="inlineStr">
        <is>
          <t>30 min</t>
        </is>
      </c>
      <c r="L313" s="9" t="inlineStr">
        <is>
          <t>Code/Implement LLM</t>
        </is>
      </c>
      <c r="M313" s="9" t="inlineStr">
        <is>
          <t>15 min</t>
        </is>
      </c>
      <c r="N313" s="9" t="inlineStr">
        <is>
          <t>How does LLM affect LLM output?</t>
        </is>
      </c>
      <c r="O313" s="9" t="inlineStr">
        <is>
          <t>15 min</t>
        </is>
      </c>
      <c r="P313" s="9" t="inlineStr">
        <is>
          <t>Explain what LLM means in Generative AI.</t>
        </is>
      </c>
      <c r="Q313" s="9" t="inlineStr">
        <is>
          <t>Build/Refine code</t>
        </is>
      </c>
      <c r="R313" s="9" t="inlineStr">
        <is>
          <t>-</t>
        </is>
      </c>
      <c r="S313" s="10" t="inlineStr">
        <is>
          <t>☐ Not Started</t>
        </is>
      </c>
      <c r="T313" s="10">
        <f>IF(S313="☑ Completed", "COMPLETED", "NOT STARTED")</f>
        <v/>
      </c>
      <c r="U313" s="9" t="inlineStr">
        <is>
          <t>Review Notes for Day 63</t>
        </is>
      </c>
    </row>
    <row r="314">
      <c r="A314" s="10" t="n">
        <v>63</v>
      </c>
      <c r="B314" s="10" t="inlineStr">
        <is>
          <t>2026-11-01</t>
        </is>
      </c>
      <c r="C314" s="10" t="n">
        <v>9</v>
      </c>
      <c r="D314" s="10" t="n">
        <v>3</v>
      </c>
      <c r="E314" s="9" t="inlineStr">
        <is>
          <t>Month 3</t>
        </is>
      </c>
      <c r="F314" s="9" t="inlineStr">
        <is>
          <t>Generative AI</t>
        </is>
      </c>
      <c r="G314" s="9" t="inlineStr">
        <is>
          <t>Basics</t>
        </is>
      </c>
      <c r="H314" s="9" t="inlineStr">
        <is>
          <t>Tokens</t>
        </is>
      </c>
      <c r="I314" s="9" t="inlineStr">
        <is>
          <t>Master Tokens</t>
        </is>
      </c>
      <c r="J314" s="9" t="inlineStr">
        <is>
          <t>30 min</t>
        </is>
      </c>
      <c r="K314" s="9" t="inlineStr">
        <is>
          <t>30 min</t>
        </is>
      </c>
      <c r="L314" s="9" t="inlineStr">
        <is>
          <t>Code/Implement Tokens</t>
        </is>
      </c>
      <c r="M314" s="9" t="inlineStr">
        <is>
          <t>15 min</t>
        </is>
      </c>
      <c r="N314" s="9" t="inlineStr">
        <is>
          <t>How does Tokens affect LLM output?</t>
        </is>
      </c>
      <c r="O314" s="9" t="inlineStr">
        <is>
          <t>15 min</t>
        </is>
      </c>
      <c r="P314" s="9" t="inlineStr">
        <is>
          <t>Explain what Tokens means in Generative AI.</t>
        </is>
      </c>
      <c r="Q314" s="9" t="inlineStr">
        <is>
          <t>Build/Refine code</t>
        </is>
      </c>
      <c r="R314" s="9" t="inlineStr">
        <is>
          <t>-</t>
        </is>
      </c>
      <c r="S314" s="10" t="inlineStr">
        <is>
          <t>☐ Not Started</t>
        </is>
      </c>
      <c r="T314" s="10">
        <f>IF(S314="☑ Completed", "COMPLETED", "NOT STARTED")</f>
        <v/>
      </c>
      <c r="U314" s="9" t="inlineStr">
        <is>
          <t>Review Notes for Day 63</t>
        </is>
      </c>
    </row>
    <row r="315">
      <c r="A315" s="10" t="n">
        <v>63</v>
      </c>
      <c r="B315" s="10" t="inlineStr">
        <is>
          <t>2026-11-01</t>
        </is>
      </c>
      <c r="C315" s="10" t="n">
        <v>9</v>
      </c>
      <c r="D315" s="10" t="n">
        <v>3</v>
      </c>
      <c r="E315" s="9" t="inlineStr">
        <is>
          <t>Month 3</t>
        </is>
      </c>
      <c r="F315" s="9" t="inlineStr">
        <is>
          <t>Generative AI</t>
        </is>
      </c>
      <c r="G315" s="9" t="inlineStr">
        <is>
          <t>Basics</t>
        </is>
      </c>
      <c r="H315" s="9" t="inlineStr">
        <is>
          <t>Tokenization</t>
        </is>
      </c>
      <c r="I315" s="9" t="inlineStr">
        <is>
          <t>Master Tokenization</t>
        </is>
      </c>
      <c r="J315" s="9" t="inlineStr">
        <is>
          <t>30 min</t>
        </is>
      </c>
      <c r="K315" s="9" t="inlineStr">
        <is>
          <t>30 min</t>
        </is>
      </c>
      <c r="L315" s="9" t="inlineStr">
        <is>
          <t>Code/Implement Tokenization</t>
        </is>
      </c>
      <c r="M315" s="9" t="inlineStr">
        <is>
          <t>15 min</t>
        </is>
      </c>
      <c r="N315" s="9" t="inlineStr">
        <is>
          <t>How does Tokenization affect LLM output?</t>
        </is>
      </c>
      <c r="O315" s="9" t="inlineStr">
        <is>
          <t>15 min</t>
        </is>
      </c>
      <c r="P315" s="9" t="inlineStr">
        <is>
          <t>Explain what Tokenization means in Generative AI.</t>
        </is>
      </c>
      <c r="Q315" s="9" t="inlineStr">
        <is>
          <t>Build/Refine code</t>
        </is>
      </c>
      <c r="R315" s="9" t="inlineStr">
        <is>
          <t>-</t>
        </is>
      </c>
      <c r="S315" s="10" t="inlineStr">
        <is>
          <t>☐ Not Started</t>
        </is>
      </c>
      <c r="T315" s="10">
        <f>IF(S315="☑ Completed", "COMPLETED", "NOT STARTED")</f>
        <v/>
      </c>
      <c r="U315" s="9" t="inlineStr">
        <is>
          <t>Review Notes for Day 63</t>
        </is>
      </c>
    </row>
    <row r="316">
      <c r="A316" s="10" t="n">
        <v>63</v>
      </c>
      <c r="B316" s="10" t="inlineStr">
        <is>
          <t>2026-11-01</t>
        </is>
      </c>
      <c r="C316" s="10" t="n">
        <v>9</v>
      </c>
      <c r="D316" s="10" t="n">
        <v>3</v>
      </c>
      <c r="E316" s="9" t="inlineStr">
        <is>
          <t>Month 3</t>
        </is>
      </c>
      <c r="F316" s="9" t="inlineStr">
        <is>
          <t>Generative AI</t>
        </is>
      </c>
      <c r="G316" s="9" t="inlineStr">
        <is>
          <t>Basics</t>
        </is>
      </c>
      <c r="H316" s="9" t="inlineStr">
        <is>
          <t>Context window</t>
        </is>
      </c>
      <c r="I316" s="9" t="inlineStr">
        <is>
          <t>Master Context window</t>
        </is>
      </c>
      <c r="J316" s="9" t="inlineStr">
        <is>
          <t>30 min</t>
        </is>
      </c>
      <c r="K316" s="9" t="inlineStr">
        <is>
          <t>30 min</t>
        </is>
      </c>
      <c r="L316" s="9" t="inlineStr">
        <is>
          <t>Code/Implement Context window</t>
        </is>
      </c>
      <c r="M316" s="9" t="inlineStr">
        <is>
          <t>15 min</t>
        </is>
      </c>
      <c r="N316" s="9" t="inlineStr">
        <is>
          <t>How does Context window affect LLM output?</t>
        </is>
      </c>
      <c r="O316" s="9" t="inlineStr">
        <is>
          <t>15 min</t>
        </is>
      </c>
      <c r="P316" s="9" t="inlineStr">
        <is>
          <t>Explain what Context window means in Generative AI.</t>
        </is>
      </c>
      <c r="Q316" s="9" t="inlineStr">
        <is>
          <t>Build/Refine code</t>
        </is>
      </c>
      <c r="R316" s="9" t="inlineStr">
        <is>
          <t>-</t>
        </is>
      </c>
      <c r="S316" s="10" t="inlineStr">
        <is>
          <t>☐ Not Started</t>
        </is>
      </c>
      <c r="T316" s="10">
        <f>IF(S316="☑ Completed", "COMPLETED", "NOT STARTED")</f>
        <v/>
      </c>
      <c r="U316" s="9" t="inlineStr">
        <is>
          <t>Review Notes for Day 63</t>
        </is>
      </c>
    </row>
    <row r="317">
      <c r="A317" s="10" t="n">
        <v>64</v>
      </c>
      <c r="B317" s="10" t="inlineStr">
        <is>
          <t>2026-11-02</t>
        </is>
      </c>
      <c r="C317" s="10" t="n">
        <v>10</v>
      </c>
      <c r="D317" s="10" t="n">
        <v>3</v>
      </c>
      <c r="E317" s="9" t="inlineStr">
        <is>
          <t>Month 3</t>
        </is>
      </c>
      <c r="F317" s="9" t="inlineStr">
        <is>
          <t>Generative AI</t>
        </is>
      </c>
      <c r="G317" s="9" t="inlineStr">
        <is>
          <t>Basics</t>
        </is>
      </c>
      <c r="H317" s="9" t="inlineStr">
        <is>
          <t>Parameters</t>
        </is>
      </c>
      <c r="I317" s="9" t="inlineStr">
        <is>
          <t>Master Parameters</t>
        </is>
      </c>
      <c r="J317" s="9" t="inlineStr">
        <is>
          <t>45 min</t>
        </is>
      </c>
      <c r="K317" s="9" t="inlineStr">
        <is>
          <t>45 min</t>
        </is>
      </c>
      <c r="L317" s="9" t="inlineStr">
        <is>
          <t>Code/Implement Parameters</t>
        </is>
      </c>
      <c r="M317" s="9" t="inlineStr">
        <is>
          <t>15 min</t>
        </is>
      </c>
      <c r="N317" s="9" t="inlineStr">
        <is>
          <t>How does Parameters affect LLM output?</t>
        </is>
      </c>
      <c r="O317" s="9" t="inlineStr">
        <is>
          <t>15 min</t>
        </is>
      </c>
      <c r="P317" s="9" t="inlineStr">
        <is>
          <t>Explain what Parameters means in Generative AI.</t>
        </is>
      </c>
      <c r="Q317" s="9" t="inlineStr">
        <is>
          <t>Build/Refine code</t>
        </is>
      </c>
      <c r="R317" s="9" t="n">
        <v>15</v>
      </c>
      <c r="S317" s="10" t="inlineStr">
        <is>
          <t>☐ Not Started</t>
        </is>
      </c>
      <c r="T317" s="10">
        <f>IF(S317="☑ Completed", "COMPLETED", "NOT STARTED")</f>
        <v/>
      </c>
      <c r="U317" s="9" t="inlineStr">
        <is>
          <t>Review Notes for Day 64</t>
        </is>
      </c>
    </row>
    <row r="318">
      <c r="A318" s="10" t="n">
        <v>64</v>
      </c>
      <c r="B318" s="10" t="inlineStr">
        <is>
          <t>2026-11-02</t>
        </is>
      </c>
      <c r="C318" s="10" t="n">
        <v>10</v>
      </c>
      <c r="D318" s="10" t="n">
        <v>3</v>
      </c>
      <c r="E318" s="9" t="inlineStr">
        <is>
          <t>Month 3</t>
        </is>
      </c>
      <c r="F318" s="9" t="inlineStr">
        <is>
          <t>Generative AI</t>
        </is>
      </c>
      <c r="G318" s="9" t="inlineStr">
        <is>
          <t>Basics</t>
        </is>
      </c>
      <c r="H318" s="9" t="inlineStr">
        <is>
          <t>Inference</t>
        </is>
      </c>
      <c r="I318" s="9" t="inlineStr">
        <is>
          <t>Master Inference</t>
        </is>
      </c>
      <c r="J318" s="9" t="inlineStr">
        <is>
          <t>30 min</t>
        </is>
      </c>
      <c r="K318" s="9" t="inlineStr">
        <is>
          <t>30 min</t>
        </is>
      </c>
      <c r="L318" s="9" t="inlineStr">
        <is>
          <t>Code/Implement Inference</t>
        </is>
      </c>
      <c r="M318" s="9" t="inlineStr">
        <is>
          <t>15 min</t>
        </is>
      </c>
      <c r="N318" s="9" t="inlineStr">
        <is>
          <t>How does Inference affect LLM output?</t>
        </is>
      </c>
      <c r="O318" s="9" t="inlineStr">
        <is>
          <t>15 min</t>
        </is>
      </c>
      <c r="P318" s="9" t="inlineStr">
        <is>
          <t>Explain what Inference means in Generative AI.</t>
        </is>
      </c>
      <c r="Q318" s="9" t="inlineStr">
        <is>
          <t>Build/Refine code</t>
        </is>
      </c>
      <c r="R318" s="9" t="inlineStr">
        <is>
          <t>-</t>
        </is>
      </c>
      <c r="S318" s="10" t="inlineStr">
        <is>
          <t>☐ Not Started</t>
        </is>
      </c>
      <c r="T318" s="10">
        <f>IF(S318="☑ Completed", "COMPLETED", "NOT STARTED")</f>
        <v/>
      </c>
      <c r="U318" s="9" t="inlineStr">
        <is>
          <t>Review Notes for Day 64</t>
        </is>
      </c>
    </row>
    <row r="319">
      <c r="A319" s="10" t="n">
        <v>64</v>
      </c>
      <c r="B319" s="10" t="inlineStr">
        <is>
          <t>2026-11-02</t>
        </is>
      </c>
      <c r="C319" s="10" t="n">
        <v>10</v>
      </c>
      <c r="D319" s="10" t="n">
        <v>3</v>
      </c>
      <c r="E319" s="9" t="inlineStr">
        <is>
          <t>Month 3</t>
        </is>
      </c>
      <c r="F319" s="9" t="inlineStr">
        <is>
          <t>Generative AI</t>
        </is>
      </c>
      <c r="G319" s="9" t="inlineStr">
        <is>
          <t>Basics</t>
        </is>
      </c>
      <c r="H319" s="9" t="inlineStr">
        <is>
          <t>Temperature</t>
        </is>
      </c>
      <c r="I319" s="9" t="inlineStr">
        <is>
          <t>Master Temperature</t>
        </is>
      </c>
      <c r="J319" s="9" t="inlineStr">
        <is>
          <t>30 min</t>
        </is>
      </c>
      <c r="K319" s="9" t="inlineStr">
        <is>
          <t>30 min</t>
        </is>
      </c>
      <c r="L319" s="9" t="inlineStr">
        <is>
          <t>Code/Implement Temperature</t>
        </is>
      </c>
      <c r="M319" s="9" t="inlineStr">
        <is>
          <t>15 min</t>
        </is>
      </c>
      <c r="N319" s="9" t="inlineStr">
        <is>
          <t>How does Temperature affect LLM output?</t>
        </is>
      </c>
      <c r="O319" s="9" t="inlineStr">
        <is>
          <t>15 min</t>
        </is>
      </c>
      <c r="P319" s="9" t="inlineStr">
        <is>
          <t>Explain what Temperature means in Generative AI.</t>
        </is>
      </c>
      <c r="Q319" s="9" t="inlineStr">
        <is>
          <t>Build/Refine code</t>
        </is>
      </c>
      <c r="R319" s="9" t="inlineStr">
        <is>
          <t>-</t>
        </is>
      </c>
      <c r="S319" s="10" t="inlineStr">
        <is>
          <t>☐ Not Started</t>
        </is>
      </c>
      <c r="T319" s="10">
        <f>IF(S319="☑ Completed", "COMPLETED", "NOT STARTED")</f>
        <v/>
      </c>
      <c r="U319" s="9" t="inlineStr">
        <is>
          <t>Review Notes for Day 64</t>
        </is>
      </c>
    </row>
    <row r="320">
      <c r="A320" s="10" t="n">
        <v>64</v>
      </c>
      <c r="B320" s="10" t="inlineStr">
        <is>
          <t>2026-11-02</t>
        </is>
      </c>
      <c r="C320" s="10" t="n">
        <v>10</v>
      </c>
      <c r="D320" s="10" t="n">
        <v>3</v>
      </c>
      <c r="E320" s="9" t="inlineStr">
        <is>
          <t>Month 3</t>
        </is>
      </c>
      <c r="F320" s="9" t="inlineStr">
        <is>
          <t>Generative AI</t>
        </is>
      </c>
      <c r="G320" s="9" t="inlineStr">
        <is>
          <t>Basics</t>
        </is>
      </c>
      <c r="H320" s="9" t="inlineStr">
        <is>
          <t>Top-p</t>
        </is>
      </c>
      <c r="I320" s="9" t="inlineStr">
        <is>
          <t>Master Top-p</t>
        </is>
      </c>
      <c r="J320" s="9" t="inlineStr">
        <is>
          <t>30 min</t>
        </is>
      </c>
      <c r="K320" s="9" t="inlineStr">
        <is>
          <t>30 min</t>
        </is>
      </c>
      <c r="L320" s="9" t="inlineStr">
        <is>
          <t>Code/Implement Top-p</t>
        </is>
      </c>
      <c r="M320" s="9" t="inlineStr">
        <is>
          <t>15 min</t>
        </is>
      </c>
      <c r="N320" s="9" t="inlineStr">
        <is>
          <t>How does Top-p affect LLM output?</t>
        </is>
      </c>
      <c r="O320" s="9" t="inlineStr">
        <is>
          <t>15 min</t>
        </is>
      </c>
      <c r="P320" s="9" t="inlineStr">
        <is>
          <t>Explain what Top-p means in Generative AI.</t>
        </is>
      </c>
      <c r="Q320" s="9" t="inlineStr">
        <is>
          <t>Build/Refine code</t>
        </is>
      </c>
      <c r="R320" s="9" t="inlineStr">
        <is>
          <t>-</t>
        </is>
      </c>
      <c r="S320" s="10" t="inlineStr">
        <is>
          <t>☐ Not Started</t>
        </is>
      </c>
      <c r="T320" s="10">
        <f>IF(S320="☑ Completed", "COMPLETED", "NOT STARTED")</f>
        <v/>
      </c>
      <c r="U320" s="9" t="inlineStr">
        <is>
          <t>Review Notes for Day 64</t>
        </is>
      </c>
    </row>
    <row r="321">
      <c r="A321" s="10" t="n">
        <v>64</v>
      </c>
      <c r="B321" s="10" t="inlineStr">
        <is>
          <t>2026-11-02</t>
        </is>
      </c>
      <c r="C321" s="10" t="n">
        <v>10</v>
      </c>
      <c r="D321" s="10" t="n">
        <v>3</v>
      </c>
      <c r="E321" s="9" t="inlineStr">
        <is>
          <t>Month 3</t>
        </is>
      </c>
      <c r="F321" s="9" t="inlineStr">
        <is>
          <t>Generative AI</t>
        </is>
      </c>
      <c r="G321" s="9" t="inlineStr">
        <is>
          <t>Basics</t>
        </is>
      </c>
      <c r="H321" s="9" t="inlineStr">
        <is>
          <t>Embeddings</t>
        </is>
      </c>
      <c r="I321" s="9" t="inlineStr">
        <is>
          <t>Master Embeddings</t>
        </is>
      </c>
      <c r="J321" s="9" t="inlineStr">
        <is>
          <t>30 min</t>
        </is>
      </c>
      <c r="K321" s="9" t="inlineStr">
        <is>
          <t>30 min</t>
        </is>
      </c>
      <c r="L321" s="9" t="inlineStr">
        <is>
          <t>Code/Implement Embeddings</t>
        </is>
      </c>
      <c r="M321" s="9" t="inlineStr">
        <is>
          <t>15 min</t>
        </is>
      </c>
      <c r="N321" s="9" t="inlineStr">
        <is>
          <t>How does Embeddings affect LLM output?</t>
        </is>
      </c>
      <c r="O321" s="9" t="inlineStr">
        <is>
          <t>15 min</t>
        </is>
      </c>
      <c r="P321" s="9" t="inlineStr">
        <is>
          <t>Explain what Embeddings means in Generative AI.</t>
        </is>
      </c>
      <c r="Q321" s="9" t="inlineStr">
        <is>
          <t>Build/Refine code</t>
        </is>
      </c>
      <c r="R321" s="9" t="inlineStr">
        <is>
          <t>-</t>
        </is>
      </c>
      <c r="S321" s="10" t="inlineStr">
        <is>
          <t>☐ Not Started</t>
        </is>
      </c>
      <c r="T321" s="10">
        <f>IF(S321="☑ Completed", "COMPLETED", "NOT STARTED")</f>
        <v/>
      </c>
      <c r="U321" s="9" t="inlineStr">
        <is>
          <t>Review Notes for Day 64</t>
        </is>
      </c>
    </row>
    <row r="322">
      <c r="A322" s="10" t="n">
        <v>65</v>
      </c>
      <c r="B322" s="10" t="inlineStr">
        <is>
          <t>2026-11-03</t>
        </is>
      </c>
      <c r="C322" s="10" t="n">
        <v>10</v>
      </c>
      <c r="D322" s="10" t="n">
        <v>3</v>
      </c>
      <c r="E322" s="9" t="inlineStr">
        <is>
          <t>Month 3</t>
        </is>
      </c>
      <c r="F322" s="9" t="inlineStr">
        <is>
          <t>Generative AI</t>
        </is>
      </c>
      <c r="G322" s="9" t="inlineStr">
        <is>
          <t>Basics</t>
        </is>
      </c>
      <c r="H322" s="9" t="inlineStr">
        <is>
          <t>Hallucination</t>
        </is>
      </c>
      <c r="I322" s="9" t="inlineStr">
        <is>
          <t>Master Hallucination</t>
        </is>
      </c>
      <c r="J322" s="9" t="inlineStr">
        <is>
          <t>45 min</t>
        </is>
      </c>
      <c r="K322" s="9" t="inlineStr">
        <is>
          <t>45 min</t>
        </is>
      </c>
      <c r="L322" s="9" t="inlineStr">
        <is>
          <t>Code/Implement Hallucination</t>
        </is>
      </c>
      <c r="M322" s="9" t="inlineStr">
        <is>
          <t>15 min</t>
        </is>
      </c>
      <c r="N322" s="9" t="inlineStr">
        <is>
          <t>How does Hallucination affect LLM output?</t>
        </is>
      </c>
      <c r="O322" s="9" t="inlineStr">
        <is>
          <t>15 min</t>
        </is>
      </c>
      <c r="P322" s="9" t="inlineStr">
        <is>
          <t>Explain what Hallucination means in Generative AI.</t>
        </is>
      </c>
      <c r="Q322" s="9" t="inlineStr">
        <is>
          <t>Build/Refine code</t>
        </is>
      </c>
      <c r="R322" s="9" t="n">
        <v>15</v>
      </c>
      <c r="S322" s="10" t="inlineStr">
        <is>
          <t>☐ Not Started</t>
        </is>
      </c>
      <c r="T322" s="10">
        <f>IF(S322="☑ Completed", "COMPLETED", "NOT STARTED")</f>
        <v/>
      </c>
      <c r="U322" s="9" t="inlineStr">
        <is>
          <t>Review Notes for Day 65</t>
        </is>
      </c>
    </row>
    <row r="323">
      <c r="A323" s="10" t="n">
        <v>65</v>
      </c>
      <c r="B323" s="10" t="inlineStr">
        <is>
          <t>2026-11-03</t>
        </is>
      </c>
      <c r="C323" s="10" t="n">
        <v>10</v>
      </c>
      <c r="D323" s="10" t="n">
        <v>3</v>
      </c>
      <c r="E323" s="9" t="inlineStr">
        <is>
          <t>Month 3</t>
        </is>
      </c>
      <c r="F323" s="9" t="inlineStr">
        <is>
          <t>Prompt Engineering</t>
        </is>
      </c>
      <c r="G323" s="9" t="inlineStr">
        <is>
          <t>Techniques</t>
        </is>
      </c>
      <c r="H323" s="9" t="inlineStr">
        <is>
          <t>Zero-shot prompting</t>
        </is>
      </c>
      <c r="I323" s="9" t="inlineStr">
        <is>
          <t>Master Zero-shot prompting</t>
        </is>
      </c>
      <c r="J323" s="9" t="inlineStr">
        <is>
          <t>30 min</t>
        </is>
      </c>
      <c r="K323" s="9" t="inlineStr">
        <is>
          <t>30 min</t>
        </is>
      </c>
      <c r="L323" s="9" t="inlineStr">
        <is>
          <t>Code/Implement Zero-shot prompting</t>
        </is>
      </c>
      <c r="M323" s="9" t="inlineStr">
        <is>
          <t>15 min</t>
        </is>
      </c>
      <c r="N323" s="9" t="inlineStr">
        <is>
          <t>When would you use Zero-shot prompting?</t>
        </is>
      </c>
      <c r="O323" s="9" t="inlineStr">
        <is>
          <t>15 min</t>
        </is>
      </c>
      <c r="P323" s="9" t="inlineStr">
        <is>
          <t>Give an example of Zero-shot prompting applied to a real problem.</t>
        </is>
      </c>
      <c r="Q323" s="9" t="inlineStr">
        <is>
          <t>Build/Refine code</t>
        </is>
      </c>
      <c r="R323" s="9" t="inlineStr">
        <is>
          <t>-</t>
        </is>
      </c>
      <c r="S323" s="10" t="inlineStr">
        <is>
          <t>☐ Not Started</t>
        </is>
      </c>
      <c r="T323" s="10">
        <f>IF(S323="☑ Completed", "COMPLETED", "NOT STARTED")</f>
        <v/>
      </c>
      <c r="U323" s="9" t="inlineStr">
        <is>
          <t>Review Notes for Day 65</t>
        </is>
      </c>
    </row>
    <row r="324">
      <c r="A324" s="10" t="n">
        <v>65</v>
      </c>
      <c r="B324" s="10" t="inlineStr">
        <is>
          <t>2026-11-03</t>
        </is>
      </c>
      <c r="C324" s="10" t="n">
        <v>10</v>
      </c>
      <c r="D324" s="10" t="n">
        <v>3</v>
      </c>
      <c r="E324" s="9" t="inlineStr">
        <is>
          <t>Month 3</t>
        </is>
      </c>
      <c r="F324" s="9" t="inlineStr">
        <is>
          <t>Prompt Engineering</t>
        </is>
      </c>
      <c r="G324" s="9" t="inlineStr">
        <is>
          <t>Techniques</t>
        </is>
      </c>
      <c r="H324" s="9" t="inlineStr">
        <is>
          <t>Few-shot prompting</t>
        </is>
      </c>
      <c r="I324" s="9" t="inlineStr">
        <is>
          <t>Master Few-shot prompting</t>
        </is>
      </c>
      <c r="J324" s="9" t="inlineStr">
        <is>
          <t>30 min</t>
        </is>
      </c>
      <c r="K324" s="9" t="inlineStr">
        <is>
          <t>30 min</t>
        </is>
      </c>
      <c r="L324" s="9" t="inlineStr">
        <is>
          <t>Code/Implement Few-shot prompting</t>
        </is>
      </c>
      <c r="M324" s="9" t="inlineStr">
        <is>
          <t>15 min</t>
        </is>
      </c>
      <c r="N324" s="9" t="inlineStr">
        <is>
          <t>When would you use Few-shot prompting?</t>
        </is>
      </c>
      <c r="O324" s="9" t="inlineStr">
        <is>
          <t>15 min</t>
        </is>
      </c>
      <c r="P324" s="9" t="inlineStr">
        <is>
          <t>Give an example of Few-shot prompting applied to a real problem.</t>
        </is>
      </c>
      <c r="Q324" s="9" t="inlineStr">
        <is>
          <t>Build/Refine code</t>
        </is>
      </c>
      <c r="R324" s="9" t="inlineStr">
        <is>
          <t>-</t>
        </is>
      </c>
      <c r="S324" s="10" t="inlineStr">
        <is>
          <t>☐ Not Started</t>
        </is>
      </c>
      <c r="T324" s="10">
        <f>IF(S324="☑ Completed", "COMPLETED", "NOT STARTED")</f>
        <v/>
      </c>
      <c r="U324" s="9" t="inlineStr">
        <is>
          <t>Review Notes for Day 65</t>
        </is>
      </c>
    </row>
    <row r="325">
      <c r="A325" s="10" t="n">
        <v>65</v>
      </c>
      <c r="B325" s="10" t="inlineStr">
        <is>
          <t>2026-11-03</t>
        </is>
      </c>
      <c r="C325" s="10" t="n">
        <v>10</v>
      </c>
      <c r="D325" s="10" t="n">
        <v>3</v>
      </c>
      <c r="E325" s="9" t="inlineStr">
        <is>
          <t>Month 3</t>
        </is>
      </c>
      <c r="F325" s="9" t="inlineStr">
        <is>
          <t>Prompt Engineering</t>
        </is>
      </c>
      <c r="G325" s="9" t="inlineStr">
        <is>
          <t>Techniques</t>
        </is>
      </c>
      <c r="H325" s="9" t="inlineStr">
        <is>
          <t>Role prompting</t>
        </is>
      </c>
      <c r="I325" s="9" t="inlineStr">
        <is>
          <t>Master Role prompting</t>
        </is>
      </c>
      <c r="J325" s="9" t="inlineStr">
        <is>
          <t>30 min</t>
        </is>
      </c>
      <c r="K325" s="9" t="inlineStr">
        <is>
          <t>30 min</t>
        </is>
      </c>
      <c r="L325" s="9" t="inlineStr">
        <is>
          <t>Code/Implement Role prompting</t>
        </is>
      </c>
      <c r="M325" s="9" t="inlineStr">
        <is>
          <t>15 min</t>
        </is>
      </c>
      <c r="N325" s="9" t="inlineStr">
        <is>
          <t>When would you use Role prompting?</t>
        </is>
      </c>
      <c r="O325" s="9" t="inlineStr">
        <is>
          <t>15 min</t>
        </is>
      </c>
      <c r="P325" s="9" t="inlineStr">
        <is>
          <t>Give an example of Role prompting applied to a real problem.</t>
        </is>
      </c>
      <c r="Q325" s="9" t="inlineStr">
        <is>
          <t>Build/Refine code</t>
        </is>
      </c>
      <c r="R325" s="9" t="inlineStr">
        <is>
          <t>-</t>
        </is>
      </c>
      <c r="S325" s="10" t="inlineStr">
        <is>
          <t>☐ Not Started</t>
        </is>
      </c>
      <c r="T325" s="10">
        <f>IF(S325="☑ Completed", "COMPLETED", "NOT STARTED")</f>
        <v/>
      </c>
      <c r="U325" s="9" t="inlineStr">
        <is>
          <t>Review Notes for Day 65</t>
        </is>
      </c>
    </row>
    <row r="326">
      <c r="A326" s="10" t="n">
        <v>65</v>
      </c>
      <c r="B326" s="10" t="inlineStr">
        <is>
          <t>2026-11-03</t>
        </is>
      </c>
      <c r="C326" s="10" t="n">
        <v>10</v>
      </c>
      <c r="D326" s="10" t="n">
        <v>3</v>
      </c>
      <c r="E326" s="9" t="inlineStr">
        <is>
          <t>Month 3</t>
        </is>
      </c>
      <c r="F326" s="9" t="inlineStr">
        <is>
          <t>Prompt Engineering</t>
        </is>
      </c>
      <c r="G326" s="9" t="inlineStr">
        <is>
          <t>Techniques</t>
        </is>
      </c>
      <c r="H326" s="9" t="inlineStr">
        <is>
          <t>System prompts</t>
        </is>
      </c>
      <c r="I326" s="9" t="inlineStr">
        <is>
          <t>Master System prompts</t>
        </is>
      </c>
      <c r="J326" s="9" t="inlineStr">
        <is>
          <t>30 min</t>
        </is>
      </c>
      <c r="K326" s="9" t="inlineStr">
        <is>
          <t>30 min</t>
        </is>
      </c>
      <c r="L326" s="9" t="inlineStr">
        <is>
          <t>Code/Implement System prompts</t>
        </is>
      </c>
      <c r="M326" s="9" t="inlineStr">
        <is>
          <t>15 min</t>
        </is>
      </c>
      <c r="N326" s="9" t="inlineStr">
        <is>
          <t>When would you use System prompts?</t>
        </is>
      </c>
      <c r="O326" s="9" t="inlineStr">
        <is>
          <t>15 min</t>
        </is>
      </c>
      <c r="P326" s="9" t="inlineStr">
        <is>
          <t>Give an example of System prompts applied to a real problem.</t>
        </is>
      </c>
      <c r="Q326" s="9" t="inlineStr">
        <is>
          <t>Build/Refine code</t>
        </is>
      </c>
      <c r="R326" s="9" t="inlineStr">
        <is>
          <t>-</t>
        </is>
      </c>
      <c r="S326" s="10" t="inlineStr">
        <is>
          <t>☐ Not Started</t>
        </is>
      </c>
      <c r="T326" s="10">
        <f>IF(S326="☑ Completed", "COMPLETED", "NOT STARTED")</f>
        <v/>
      </c>
      <c r="U326" s="9" t="inlineStr">
        <is>
          <t>Review Notes for Day 65</t>
        </is>
      </c>
    </row>
    <row r="327">
      <c r="A327" s="10" t="n">
        <v>66</v>
      </c>
      <c r="B327" s="10" t="inlineStr">
        <is>
          <t>2026-11-04</t>
        </is>
      </c>
      <c r="C327" s="10" t="n">
        <v>10</v>
      </c>
      <c r="D327" s="10" t="n">
        <v>3</v>
      </c>
      <c r="E327" s="9" t="inlineStr">
        <is>
          <t>Month 3</t>
        </is>
      </c>
      <c r="F327" s="9" t="inlineStr">
        <is>
          <t>Prompt Engineering</t>
        </is>
      </c>
      <c r="G327" s="9" t="inlineStr">
        <is>
          <t>Techniques</t>
        </is>
      </c>
      <c r="H327" s="9" t="inlineStr">
        <is>
          <t>Prompt templates</t>
        </is>
      </c>
      <c r="I327" s="9" t="inlineStr">
        <is>
          <t>Master Prompt templates</t>
        </is>
      </c>
      <c r="J327" s="9" t="inlineStr">
        <is>
          <t>45 min</t>
        </is>
      </c>
      <c r="K327" s="9" t="inlineStr">
        <is>
          <t>45 min</t>
        </is>
      </c>
      <c r="L327" s="9" t="inlineStr">
        <is>
          <t>Code/Implement Prompt templates</t>
        </is>
      </c>
      <c r="M327" s="9" t="inlineStr">
        <is>
          <t>15 min</t>
        </is>
      </c>
      <c r="N327" s="9" t="inlineStr">
        <is>
          <t>When would you use Prompt templates?</t>
        </is>
      </c>
      <c r="O327" s="9" t="inlineStr">
        <is>
          <t>15 min</t>
        </is>
      </c>
      <c r="P327" s="9" t="inlineStr">
        <is>
          <t>Give an example of Prompt templates applied to a real problem.</t>
        </is>
      </c>
      <c r="Q327" s="9" t="inlineStr">
        <is>
          <t>Build/Refine code</t>
        </is>
      </c>
      <c r="R327" s="9" t="n">
        <v>15</v>
      </c>
      <c r="S327" s="10" t="inlineStr">
        <is>
          <t>☐ Not Started</t>
        </is>
      </c>
      <c r="T327" s="10">
        <f>IF(S327="☑ Completed", "COMPLETED", "NOT STARTED")</f>
        <v/>
      </c>
      <c r="U327" s="9" t="inlineStr">
        <is>
          <t>Review Notes for Day 66</t>
        </is>
      </c>
    </row>
    <row r="328">
      <c r="A328" s="10" t="n">
        <v>66</v>
      </c>
      <c r="B328" s="10" t="inlineStr">
        <is>
          <t>2026-11-04</t>
        </is>
      </c>
      <c r="C328" s="10" t="n">
        <v>10</v>
      </c>
      <c r="D328" s="10" t="n">
        <v>3</v>
      </c>
      <c r="E328" s="9" t="inlineStr">
        <is>
          <t>Month 3</t>
        </is>
      </c>
      <c r="F328" s="9" t="inlineStr">
        <is>
          <t>Prompt Engineering</t>
        </is>
      </c>
      <c r="G328" s="9" t="inlineStr">
        <is>
          <t>Techniques</t>
        </is>
      </c>
      <c r="H328" s="9" t="inlineStr">
        <is>
          <t>Structured output</t>
        </is>
      </c>
      <c r="I328" s="9" t="inlineStr">
        <is>
          <t>Master Structured output</t>
        </is>
      </c>
      <c r="J328" s="9" t="inlineStr">
        <is>
          <t>30 min</t>
        </is>
      </c>
      <c r="K328" s="9" t="inlineStr">
        <is>
          <t>30 min</t>
        </is>
      </c>
      <c r="L328" s="9" t="inlineStr">
        <is>
          <t>Code/Implement Structured output</t>
        </is>
      </c>
      <c r="M328" s="9" t="inlineStr">
        <is>
          <t>15 min</t>
        </is>
      </c>
      <c r="N328" s="9" t="inlineStr">
        <is>
          <t>When would you use Structured output?</t>
        </is>
      </c>
      <c r="O328" s="9" t="inlineStr">
        <is>
          <t>15 min</t>
        </is>
      </c>
      <c r="P328" s="9" t="inlineStr">
        <is>
          <t>Give an example of Structured output applied to a real problem.</t>
        </is>
      </c>
      <c r="Q328" s="9" t="inlineStr">
        <is>
          <t>Build/Refine code</t>
        </is>
      </c>
      <c r="R328" s="9" t="inlineStr">
        <is>
          <t>-</t>
        </is>
      </c>
      <c r="S328" s="10" t="inlineStr">
        <is>
          <t>☐ Not Started</t>
        </is>
      </c>
      <c r="T328" s="10">
        <f>IF(S328="☑ Completed", "COMPLETED", "NOT STARTED")</f>
        <v/>
      </c>
      <c r="U328" s="9" t="inlineStr">
        <is>
          <t>Review Notes for Day 66</t>
        </is>
      </c>
    </row>
    <row r="329">
      <c r="A329" s="10" t="n">
        <v>66</v>
      </c>
      <c r="B329" s="10" t="inlineStr">
        <is>
          <t>2026-11-04</t>
        </is>
      </c>
      <c r="C329" s="10" t="n">
        <v>10</v>
      </c>
      <c r="D329" s="10" t="n">
        <v>3</v>
      </c>
      <c r="E329" s="9" t="inlineStr">
        <is>
          <t>Month 3</t>
        </is>
      </c>
      <c r="F329" s="9" t="inlineStr">
        <is>
          <t>Prompt Engineering</t>
        </is>
      </c>
      <c r="G329" s="9" t="inlineStr">
        <is>
          <t>Techniques</t>
        </is>
      </c>
      <c r="H329" s="9" t="inlineStr">
        <is>
          <t>Prompt evaluation</t>
        </is>
      </c>
      <c r="I329" s="9" t="inlineStr">
        <is>
          <t>Master Prompt evaluation</t>
        </is>
      </c>
      <c r="J329" s="9" t="inlineStr">
        <is>
          <t>30 min</t>
        </is>
      </c>
      <c r="K329" s="9" t="inlineStr">
        <is>
          <t>30 min</t>
        </is>
      </c>
      <c r="L329" s="9" t="inlineStr">
        <is>
          <t>Code/Implement Prompt evaluation</t>
        </is>
      </c>
      <c r="M329" s="9" t="inlineStr">
        <is>
          <t>15 min</t>
        </is>
      </c>
      <c r="N329" s="9" t="inlineStr">
        <is>
          <t>When would you use Prompt evaluation?</t>
        </is>
      </c>
      <c r="O329" s="9" t="inlineStr">
        <is>
          <t>15 min</t>
        </is>
      </c>
      <c r="P329" s="9" t="inlineStr">
        <is>
          <t>Give an example of Prompt evaluation applied to a real problem.</t>
        </is>
      </c>
      <c r="Q329" s="9" t="inlineStr">
        <is>
          <t>Build/Refine code</t>
        </is>
      </c>
      <c r="R329" s="9" t="inlineStr">
        <is>
          <t>-</t>
        </is>
      </c>
      <c r="S329" s="10" t="inlineStr">
        <is>
          <t>☐ Not Started</t>
        </is>
      </c>
      <c r="T329" s="10">
        <f>IF(S329="☑ Completed", "COMPLETED", "NOT STARTED")</f>
        <v/>
      </c>
      <c r="U329" s="9" t="inlineStr">
        <is>
          <t>Review Notes for Day 66</t>
        </is>
      </c>
    </row>
    <row r="330">
      <c r="A330" s="10" t="n">
        <v>66</v>
      </c>
      <c r="B330" s="10" t="inlineStr">
        <is>
          <t>2026-11-04</t>
        </is>
      </c>
      <c r="C330" s="10" t="n">
        <v>10</v>
      </c>
      <c r="D330" s="10" t="n">
        <v>3</v>
      </c>
      <c r="E330" s="9" t="inlineStr">
        <is>
          <t>Month 3</t>
        </is>
      </c>
      <c r="F330" s="9" t="inlineStr">
        <is>
          <t>Prompt Engineering</t>
        </is>
      </c>
      <c r="G330" s="9" t="inlineStr">
        <is>
          <t>Techniques</t>
        </is>
      </c>
      <c r="H330" s="9" t="inlineStr">
        <is>
          <t>Prompt optimization</t>
        </is>
      </c>
      <c r="I330" s="9" t="inlineStr">
        <is>
          <t>Master Prompt optimization</t>
        </is>
      </c>
      <c r="J330" s="9" t="inlineStr">
        <is>
          <t>30 min</t>
        </is>
      </c>
      <c r="K330" s="9" t="inlineStr">
        <is>
          <t>30 min</t>
        </is>
      </c>
      <c r="L330" s="9" t="inlineStr">
        <is>
          <t>Code/Implement Prompt optimization</t>
        </is>
      </c>
      <c r="M330" s="9" t="inlineStr">
        <is>
          <t>15 min</t>
        </is>
      </c>
      <c r="N330" s="9" t="inlineStr">
        <is>
          <t>When would you use Prompt optimization?</t>
        </is>
      </c>
      <c r="O330" s="9" t="inlineStr">
        <is>
          <t>15 min</t>
        </is>
      </c>
      <c r="P330" s="9" t="inlineStr">
        <is>
          <t>Give an example of Prompt optimization applied to a real problem.</t>
        </is>
      </c>
      <c r="Q330" s="9" t="inlineStr">
        <is>
          <t>Build/Refine code</t>
        </is>
      </c>
      <c r="R330" s="9" t="inlineStr">
        <is>
          <t>-</t>
        </is>
      </c>
      <c r="S330" s="10" t="inlineStr">
        <is>
          <t>☐ Not Started</t>
        </is>
      </c>
      <c r="T330" s="10">
        <f>IF(S330="☑ Completed", "COMPLETED", "NOT STARTED")</f>
        <v/>
      </c>
      <c r="U330" s="9" t="inlineStr">
        <is>
          <t>Review Notes for Day 66</t>
        </is>
      </c>
    </row>
    <row r="331">
      <c r="A331" s="10" t="n">
        <v>66</v>
      </c>
      <c r="B331" s="10" t="inlineStr">
        <is>
          <t>2026-11-04</t>
        </is>
      </c>
      <c r="C331" s="10" t="n">
        <v>10</v>
      </c>
      <c r="D331" s="10" t="n">
        <v>3</v>
      </c>
      <c r="E331" s="9" t="inlineStr">
        <is>
          <t>Month 3</t>
        </is>
      </c>
      <c r="F331" s="9" t="inlineStr">
        <is>
          <t>Transformers</t>
        </is>
      </c>
      <c r="G331" s="9" t="inlineStr">
        <is>
          <t>Architecture</t>
        </is>
      </c>
      <c r="H331" s="9" t="inlineStr">
        <is>
          <t>Transformer</t>
        </is>
      </c>
      <c r="I331" s="9" t="inlineStr">
        <is>
          <t>Master Transformer</t>
        </is>
      </c>
      <c r="J331" s="9" t="inlineStr">
        <is>
          <t>30 min</t>
        </is>
      </c>
      <c r="K331" s="9" t="inlineStr">
        <is>
          <t>30 min</t>
        </is>
      </c>
      <c r="L331" s="9" t="inlineStr">
        <is>
          <t>Code/Implement Transformer</t>
        </is>
      </c>
      <c r="M331" s="9" t="inlineStr">
        <is>
          <t>15 min</t>
        </is>
      </c>
      <c r="N331" s="9" t="inlineStr">
        <is>
          <t>Why is Transformer a breakthrough over RNNs?</t>
        </is>
      </c>
      <c r="O331" s="9" t="inlineStr">
        <is>
          <t>15 min</t>
        </is>
      </c>
      <c r="P331" s="9" t="inlineStr">
        <is>
          <t>Describe the mechanism of Transformer in Transformers.</t>
        </is>
      </c>
      <c r="Q331" s="9" t="inlineStr">
        <is>
          <t>Build/Refine code</t>
        </is>
      </c>
      <c r="R331" s="9" t="inlineStr">
        <is>
          <t>-</t>
        </is>
      </c>
      <c r="S331" s="10" t="inlineStr">
        <is>
          <t>☐ Not Started</t>
        </is>
      </c>
      <c r="T331" s="10">
        <f>IF(S331="☑ Completed", "COMPLETED", "NOT STARTED")</f>
        <v/>
      </c>
      <c r="U331" s="9" t="inlineStr">
        <is>
          <t>Review Notes for Day 66</t>
        </is>
      </c>
    </row>
    <row r="332">
      <c r="A332" s="10" t="n">
        <v>67</v>
      </c>
      <c r="B332" s="10" t="inlineStr">
        <is>
          <t>2026-11-05</t>
        </is>
      </c>
      <c r="C332" s="10" t="n">
        <v>10</v>
      </c>
      <c r="D332" s="10" t="n">
        <v>3</v>
      </c>
      <c r="E332" s="9" t="inlineStr">
        <is>
          <t>Month 3</t>
        </is>
      </c>
      <c r="F332" s="9" t="inlineStr">
        <is>
          <t>Transformers</t>
        </is>
      </c>
      <c r="G332" s="9" t="inlineStr">
        <is>
          <t>Architecture</t>
        </is>
      </c>
      <c r="H332" s="9" t="inlineStr">
        <is>
          <t>Encoder</t>
        </is>
      </c>
      <c r="I332" s="9" t="inlineStr">
        <is>
          <t>Master Encoder</t>
        </is>
      </c>
      <c r="J332" s="9" t="inlineStr">
        <is>
          <t>45 min</t>
        </is>
      </c>
      <c r="K332" s="9" t="inlineStr">
        <is>
          <t>45 min</t>
        </is>
      </c>
      <c r="L332" s="9" t="inlineStr">
        <is>
          <t>Code/Implement Encoder</t>
        </is>
      </c>
      <c r="M332" s="9" t="inlineStr">
        <is>
          <t>15 min</t>
        </is>
      </c>
      <c r="N332" s="9" t="inlineStr">
        <is>
          <t>Why is Encoder a breakthrough over RNNs?</t>
        </is>
      </c>
      <c r="O332" s="9" t="inlineStr">
        <is>
          <t>15 min</t>
        </is>
      </c>
      <c r="P332" s="9" t="inlineStr">
        <is>
          <t>Describe the mechanism of Encoder in Transformers.</t>
        </is>
      </c>
      <c r="Q332" s="9" t="inlineStr">
        <is>
          <t>Build/Refine code</t>
        </is>
      </c>
      <c r="R332" s="9" t="n">
        <v>15</v>
      </c>
      <c r="S332" s="10" t="inlineStr">
        <is>
          <t>☐ Not Started</t>
        </is>
      </c>
      <c r="T332" s="10">
        <f>IF(S332="☑ Completed", "COMPLETED", "NOT STARTED")</f>
        <v/>
      </c>
      <c r="U332" s="9" t="inlineStr">
        <is>
          <t>Review Notes for Day 67</t>
        </is>
      </c>
    </row>
    <row r="333">
      <c r="A333" s="10" t="n">
        <v>67</v>
      </c>
      <c r="B333" s="10" t="inlineStr">
        <is>
          <t>2026-11-05</t>
        </is>
      </c>
      <c r="C333" s="10" t="n">
        <v>10</v>
      </c>
      <c r="D333" s="10" t="n">
        <v>3</v>
      </c>
      <c r="E333" s="9" t="inlineStr">
        <is>
          <t>Month 3</t>
        </is>
      </c>
      <c r="F333" s="9" t="inlineStr">
        <is>
          <t>Transformers</t>
        </is>
      </c>
      <c r="G333" s="9" t="inlineStr">
        <is>
          <t>Architecture</t>
        </is>
      </c>
      <c r="H333" s="9" t="inlineStr">
        <is>
          <t>Decoder</t>
        </is>
      </c>
      <c r="I333" s="9" t="inlineStr">
        <is>
          <t>Master Decoder</t>
        </is>
      </c>
      <c r="J333" s="9" t="inlineStr">
        <is>
          <t>30 min</t>
        </is>
      </c>
      <c r="K333" s="9" t="inlineStr">
        <is>
          <t>30 min</t>
        </is>
      </c>
      <c r="L333" s="9" t="inlineStr">
        <is>
          <t>Code/Implement Decoder</t>
        </is>
      </c>
      <c r="M333" s="9" t="inlineStr">
        <is>
          <t>15 min</t>
        </is>
      </c>
      <c r="N333" s="9" t="inlineStr">
        <is>
          <t>Why is Decoder a breakthrough over RNNs?</t>
        </is>
      </c>
      <c r="O333" s="9" t="inlineStr">
        <is>
          <t>15 min</t>
        </is>
      </c>
      <c r="P333" s="9" t="inlineStr">
        <is>
          <t>Describe the mechanism of Decoder in Transformers.</t>
        </is>
      </c>
      <c r="Q333" s="9" t="inlineStr">
        <is>
          <t>Build/Refine code</t>
        </is>
      </c>
      <c r="R333" s="9" t="inlineStr">
        <is>
          <t>-</t>
        </is>
      </c>
      <c r="S333" s="10" t="inlineStr">
        <is>
          <t>☐ Not Started</t>
        </is>
      </c>
      <c r="T333" s="10">
        <f>IF(S333="☑ Completed", "COMPLETED", "NOT STARTED")</f>
        <v/>
      </c>
      <c r="U333" s="9" t="inlineStr">
        <is>
          <t>Review Notes for Day 67</t>
        </is>
      </c>
    </row>
    <row r="334">
      <c r="A334" s="10" t="n">
        <v>67</v>
      </c>
      <c r="B334" s="10" t="inlineStr">
        <is>
          <t>2026-11-05</t>
        </is>
      </c>
      <c r="C334" s="10" t="n">
        <v>10</v>
      </c>
      <c r="D334" s="10" t="n">
        <v>3</v>
      </c>
      <c r="E334" s="9" t="inlineStr">
        <is>
          <t>Month 3</t>
        </is>
      </c>
      <c r="F334" s="9" t="inlineStr">
        <is>
          <t>Transformers</t>
        </is>
      </c>
      <c r="G334" s="9" t="inlineStr">
        <is>
          <t>Architecture</t>
        </is>
      </c>
      <c r="H334" s="9" t="inlineStr">
        <is>
          <t>Self-attention</t>
        </is>
      </c>
      <c r="I334" s="9" t="inlineStr">
        <is>
          <t>Master Self-attention</t>
        </is>
      </c>
      <c r="J334" s="9" t="inlineStr">
        <is>
          <t>30 min</t>
        </is>
      </c>
      <c r="K334" s="9" t="inlineStr">
        <is>
          <t>30 min</t>
        </is>
      </c>
      <c r="L334" s="9" t="inlineStr">
        <is>
          <t>Code/Implement Self-attention</t>
        </is>
      </c>
      <c r="M334" s="9" t="inlineStr">
        <is>
          <t>15 min</t>
        </is>
      </c>
      <c r="N334" s="9" t="inlineStr">
        <is>
          <t>Why is Self-attention a breakthrough over RNNs?</t>
        </is>
      </c>
      <c r="O334" s="9" t="inlineStr">
        <is>
          <t>15 min</t>
        </is>
      </c>
      <c r="P334" s="9" t="inlineStr">
        <is>
          <t>Describe the mechanism of Self-attention in Transformers.</t>
        </is>
      </c>
      <c r="Q334" s="9" t="inlineStr">
        <is>
          <t>Build/Refine code</t>
        </is>
      </c>
      <c r="R334" s="9" t="inlineStr">
        <is>
          <t>-</t>
        </is>
      </c>
      <c r="S334" s="10" t="inlineStr">
        <is>
          <t>☐ Not Started</t>
        </is>
      </c>
      <c r="T334" s="10">
        <f>IF(S334="☑ Completed", "COMPLETED", "NOT STARTED")</f>
        <v/>
      </c>
      <c r="U334" s="9" t="inlineStr">
        <is>
          <t>Review Notes for Day 67</t>
        </is>
      </c>
    </row>
    <row r="335">
      <c r="A335" s="10" t="n">
        <v>67</v>
      </c>
      <c r="B335" s="10" t="inlineStr">
        <is>
          <t>2026-11-05</t>
        </is>
      </c>
      <c r="C335" s="10" t="n">
        <v>10</v>
      </c>
      <c r="D335" s="10" t="n">
        <v>3</v>
      </c>
      <c r="E335" s="9" t="inlineStr">
        <is>
          <t>Month 3</t>
        </is>
      </c>
      <c r="F335" s="9" t="inlineStr">
        <is>
          <t>Transformers</t>
        </is>
      </c>
      <c r="G335" s="9" t="inlineStr">
        <is>
          <t>Architecture</t>
        </is>
      </c>
      <c r="H335" s="9" t="inlineStr">
        <is>
          <t>Multi-head attention</t>
        </is>
      </c>
      <c r="I335" s="9" t="inlineStr">
        <is>
          <t>Master Multi-head attention</t>
        </is>
      </c>
      <c r="J335" s="9" t="inlineStr">
        <is>
          <t>30 min</t>
        </is>
      </c>
      <c r="K335" s="9" t="inlineStr">
        <is>
          <t>30 min</t>
        </is>
      </c>
      <c r="L335" s="9" t="inlineStr">
        <is>
          <t>Code/Implement Multi-head attention</t>
        </is>
      </c>
      <c r="M335" s="9" t="inlineStr">
        <is>
          <t>15 min</t>
        </is>
      </c>
      <c r="N335" s="9" t="inlineStr">
        <is>
          <t>Why is Multi-head attention a breakthrough over RNNs?</t>
        </is>
      </c>
      <c r="O335" s="9" t="inlineStr">
        <is>
          <t>15 min</t>
        </is>
      </c>
      <c r="P335" s="9" t="inlineStr">
        <is>
          <t>Describe the mechanism of Multi-head attention in Transformers.</t>
        </is>
      </c>
      <c r="Q335" s="9" t="inlineStr">
        <is>
          <t>Build/Refine code</t>
        </is>
      </c>
      <c r="R335" s="9" t="inlineStr">
        <is>
          <t>-</t>
        </is>
      </c>
      <c r="S335" s="10" t="inlineStr">
        <is>
          <t>☐ Not Started</t>
        </is>
      </c>
      <c r="T335" s="10">
        <f>IF(S335="☑ Completed", "COMPLETED", "NOT STARTED")</f>
        <v/>
      </c>
      <c r="U335" s="9" t="inlineStr">
        <is>
          <t>Review Notes for Day 67</t>
        </is>
      </c>
    </row>
    <row r="336">
      <c r="A336" s="10" t="n">
        <v>67</v>
      </c>
      <c r="B336" s="10" t="inlineStr">
        <is>
          <t>2026-11-05</t>
        </is>
      </c>
      <c r="C336" s="10" t="n">
        <v>10</v>
      </c>
      <c r="D336" s="10" t="n">
        <v>3</v>
      </c>
      <c r="E336" s="9" t="inlineStr">
        <is>
          <t>Month 3</t>
        </is>
      </c>
      <c r="F336" s="9" t="inlineStr">
        <is>
          <t>Transformers</t>
        </is>
      </c>
      <c r="G336" s="9" t="inlineStr">
        <is>
          <t>Architecture</t>
        </is>
      </c>
      <c r="H336" s="9" t="inlineStr">
        <is>
          <t>Positional encoding</t>
        </is>
      </c>
      <c r="I336" s="9" t="inlineStr">
        <is>
          <t>Master Positional encoding</t>
        </is>
      </c>
      <c r="J336" s="9" t="inlineStr">
        <is>
          <t>30 min</t>
        </is>
      </c>
      <c r="K336" s="9" t="inlineStr">
        <is>
          <t>30 min</t>
        </is>
      </c>
      <c r="L336" s="9" t="inlineStr">
        <is>
          <t>Code/Implement Positional encoding</t>
        </is>
      </c>
      <c r="M336" s="9" t="inlineStr">
        <is>
          <t>15 min</t>
        </is>
      </c>
      <c r="N336" s="9" t="inlineStr">
        <is>
          <t>Why is Positional encoding a breakthrough over RNNs?</t>
        </is>
      </c>
      <c r="O336" s="9" t="inlineStr">
        <is>
          <t>15 min</t>
        </is>
      </c>
      <c r="P336" s="9" t="inlineStr">
        <is>
          <t>Describe the mechanism of Positional encoding in Transformers.</t>
        </is>
      </c>
      <c r="Q336" s="9" t="inlineStr">
        <is>
          <t>Build/Refine code</t>
        </is>
      </c>
      <c r="R336" s="9" t="inlineStr">
        <is>
          <t>-</t>
        </is>
      </c>
      <c r="S336" s="10" t="inlineStr">
        <is>
          <t>☐ Not Started</t>
        </is>
      </c>
      <c r="T336" s="10">
        <f>IF(S336="☑ Completed", "COMPLETED", "NOT STARTED")</f>
        <v/>
      </c>
      <c r="U336" s="9" t="inlineStr">
        <is>
          <t>Review Notes for Day 67</t>
        </is>
      </c>
    </row>
    <row r="337">
      <c r="A337" s="10" t="n">
        <v>68</v>
      </c>
      <c r="B337" s="10" t="inlineStr">
        <is>
          <t>2026-11-06</t>
        </is>
      </c>
      <c r="C337" s="10" t="n">
        <v>10</v>
      </c>
      <c r="D337" s="10" t="n">
        <v>3</v>
      </c>
      <c r="E337" s="9" t="inlineStr">
        <is>
          <t>Month 3</t>
        </is>
      </c>
      <c r="F337" s="9" t="inlineStr">
        <is>
          <t>Transformers</t>
        </is>
      </c>
      <c r="G337" s="9" t="inlineStr">
        <is>
          <t>Architecture</t>
        </is>
      </c>
      <c r="H337" s="9" t="inlineStr">
        <is>
          <t>BERT</t>
        </is>
      </c>
      <c r="I337" s="9" t="inlineStr">
        <is>
          <t>Master BERT</t>
        </is>
      </c>
      <c r="J337" s="9" t="inlineStr">
        <is>
          <t>45 min</t>
        </is>
      </c>
      <c r="K337" s="9" t="inlineStr">
        <is>
          <t>45 min</t>
        </is>
      </c>
      <c r="L337" s="9" t="inlineStr">
        <is>
          <t>Code/Implement BERT</t>
        </is>
      </c>
      <c r="M337" s="9" t="inlineStr">
        <is>
          <t>15 min</t>
        </is>
      </c>
      <c r="N337" s="9" t="inlineStr">
        <is>
          <t>Why is BERT a breakthrough over RNNs?</t>
        </is>
      </c>
      <c r="O337" s="9" t="inlineStr">
        <is>
          <t>15 min</t>
        </is>
      </c>
      <c r="P337" s="9" t="inlineStr">
        <is>
          <t>Describe the mechanism of BERT in Transformers.</t>
        </is>
      </c>
      <c r="Q337" s="9" t="inlineStr">
        <is>
          <t>Build/Refine code</t>
        </is>
      </c>
      <c r="R337" s="9" t="n">
        <v>15</v>
      </c>
      <c r="S337" s="10" t="inlineStr">
        <is>
          <t>☐ Not Started</t>
        </is>
      </c>
      <c r="T337" s="10">
        <f>IF(S337="☑ Completed", "COMPLETED", "NOT STARTED")</f>
        <v/>
      </c>
      <c r="U337" s="9" t="inlineStr">
        <is>
          <t>Review Notes for Day 68</t>
        </is>
      </c>
    </row>
    <row r="338">
      <c r="A338" s="10" t="n">
        <v>68</v>
      </c>
      <c r="B338" s="10" t="inlineStr">
        <is>
          <t>2026-11-06</t>
        </is>
      </c>
      <c r="C338" s="10" t="n">
        <v>10</v>
      </c>
      <c r="D338" s="10" t="n">
        <v>3</v>
      </c>
      <c r="E338" s="9" t="inlineStr">
        <is>
          <t>Month 3</t>
        </is>
      </c>
      <c r="F338" s="9" t="inlineStr">
        <is>
          <t>Transformers</t>
        </is>
      </c>
      <c r="G338" s="9" t="inlineStr">
        <is>
          <t>Architecture</t>
        </is>
      </c>
      <c r="H338" s="9" t="inlineStr">
        <is>
          <t>GPT</t>
        </is>
      </c>
      <c r="I338" s="9" t="inlineStr">
        <is>
          <t>Master GPT</t>
        </is>
      </c>
      <c r="J338" s="9" t="inlineStr">
        <is>
          <t>30 min</t>
        </is>
      </c>
      <c r="K338" s="9" t="inlineStr">
        <is>
          <t>30 min</t>
        </is>
      </c>
      <c r="L338" s="9" t="inlineStr">
        <is>
          <t>Code/Implement GPT</t>
        </is>
      </c>
      <c r="M338" s="9" t="inlineStr">
        <is>
          <t>15 min</t>
        </is>
      </c>
      <c r="N338" s="9" t="inlineStr">
        <is>
          <t>Why is GPT a breakthrough over RNNs?</t>
        </is>
      </c>
      <c r="O338" s="9" t="inlineStr">
        <is>
          <t>15 min</t>
        </is>
      </c>
      <c r="P338" s="9" t="inlineStr">
        <is>
          <t>Describe the mechanism of GPT in Transformers.</t>
        </is>
      </c>
      <c r="Q338" s="9" t="inlineStr">
        <is>
          <t>Build/Refine code</t>
        </is>
      </c>
      <c r="R338" s="9" t="inlineStr">
        <is>
          <t>-</t>
        </is>
      </c>
      <c r="S338" s="10" t="inlineStr">
        <is>
          <t>☐ Not Started</t>
        </is>
      </c>
      <c r="T338" s="10">
        <f>IF(S338="☑ Completed", "COMPLETED", "NOT STARTED")</f>
        <v/>
      </c>
      <c r="U338" s="9" t="inlineStr">
        <is>
          <t>Review Notes for Day 68</t>
        </is>
      </c>
    </row>
    <row r="339">
      <c r="A339" s="10" t="n">
        <v>68</v>
      </c>
      <c r="B339" s="10" t="inlineStr">
        <is>
          <t>2026-11-06</t>
        </is>
      </c>
      <c r="C339" s="10" t="n">
        <v>10</v>
      </c>
      <c r="D339" s="10" t="n">
        <v>3</v>
      </c>
      <c r="E339" s="9" t="inlineStr">
        <is>
          <t>Month 3</t>
        </is>
      </c>
      <c r="F339" s="9" t="inlineStr">
        <is>
          <t>Transformers</t>
        </is>
      </c>
      <c r="G339" s="9" t="inlineStr">
        <is>
          <t>Architecture</t>
        </is>
      </c>
      <c r="H339" s="9" t="inlineStr">
        <is>
          <t>T5</t>
        </is>
      </c>
      <c r="I339" s="9" t="inlineStr">
        <is>
          <t>Master T5</t>
        </is>
      </c>
      <c r="J339" s="9" t="inlineStr">
        <is>
          <t>30 min</t>
        </is>
      </c>
      <c r="K339" s="9" t="inlineStr">
        <is>
          <t>30 min</t>
        </is>
      </c>
      <c r="L339" s="9" t="inlineStr">
        <is>
          <t>Code/Implement T5</t>
        </is>
      </c>
      <c r="M339" s="9" t="inlineStr">
        <is>
          <t>15 min</t>
        </is>
      </c>
      <c r="N339" s="9" t="inlineStr">
        <is>
          <t>Why is T5 a breakthrough over RNNs?</t>
        </is>
      </c>
      <c r="O339" s="9" t="inlineStr">
        <is>
          <t>15 min</t>
        </is>
      </c>
      <c r="P339" s="9" t="inlineStr">
        <is>
          <t>Describe the mechanism of T5 in Transformers.</t>
        </is>
      </c>
      <c r="Q339" s="9" t="inlineStr">
        <is>
          <t>Build/Refine code</t>
        </is>
      </c>
      <c r="R339" s="9" t="inlineStr">
        <is>
          <t>-</t>
        </is>
      </c>
      <c r="S339" s="10" t="inlineStr">
        <is>
          <t>☐ Not Started</t>
        </is>
      </c>
      <c r="T339" s="10">
        <f>IF(S339="☑ Completed", "COMPLETED", "NOT STARTED")</f>
        <v/>
      </c>
      <c r="U339" s="9" t="inlineStr">
        <is>
          <t>Review Notes for Day 68</t>
        </is>
      </c>
    </row>
    <row r="340">
      <c r="A340" s="10" t="n">
        <v>68</v>
      </c>
      <c r="B340" s="10" t="inlineStr">
        <is>
          <t>2026-11-06</t>
        </is>
      </c>
      <c r="C340" s="10" t="n">
        <v>10</v>
      </c>
      <c r="D340" s="10" t="n">
        <v>3</v>
      </c>
      <c r="E340" s="9" t="inlineStr">
        <is>
          <t>Month 3</t>
        </is>
      </c>
      <c r="F340" s="9" t="inlineStr">
        <is>
          <t>Hugging Face</t>
        </is>
      </c>
      <c r="G340" s="9" t="inlineStr">
        <is>
          <t>Ecosystem</t>
        </is>
      </c>
      <c r="H340" s="9" t="inlineStr">
        <is>
          <t>Transformers library</t>
        </is>
      </c>
      <c r="I340" s="9" t="inlineStr">
        <is>
          <t>Master Transformers library</t>
        </is>
      </c>
      <c r="J340" s="9" t="inlineStr">
        <is>
          <t>30 min</t>
        </is>
      </c>
      <c r="K340" s="9" t="inlineStr">
        <is>
          <t>30 min</t>
        </is>
      </c>
      <c r="L340" s="9" t="inlineStr">
        <is>
          <t>Code/Implement Transformers library</t>
        </is>
      </c>
      <c r="M340" s="9" t="inlineStr">
        <is>
          <t>15 min</t>
        </is>
      </c>
      <c r="N340" s="9" t="inlineStr">
        <is>
          <t>How do you leverage Hugging Face for Transformers library?</t>
        </is>
      </c>
      <c r="O340" s="9" t="inlineStr">
        <is>
          <t>15 min</t>
        </is>
      </c>
      <c r="P340" s="9" t="inlineStr">
        <is>
          <t>Walk me through using HF Transformers library.</t>
        </is>
      </c>
      <c r="Q340" s="9" t="inlineStr">
        <is>
          <t>Build/Refine code</t>
        </is>
      </c>
      <c r="R340" s="9" t="inlineStr">
        <is>
          <t>-</t>
        </is>
      </c>
      <c r="S340" s="10" t="inlineStr">
        <is>
          <t>☐ Not Started</t>
        </is>
      </c>
      <c r="T340" s="10">
        <f>IF(S340="☑ Completed", "COMPLETED", "NOT STARTED")</f>
        <v/>
      </c>
      <c r="U340" s="9" t="inlineStr">
        <is>
          <t>Review Notes for Day 68</t>
        </is>
      </c>
    </row>
    <row r="341">
      <c r="A341" s="10" t="n">
        <v>68</v>
      </c>
      <c r="B341" s="10" t="inlineStr">
        <is>
          <t>2026-11-06</t>
        </is>
      </c>
      <c r="C341" s="10" t="n">
        <v>10</v>
      </c>
      <c r="D341" s="10" t="n">
        <v>3</v>
      </c>
      <c r="E341" s="9" t="inlineStr">
        <is>
          <t>Month 3</t>
        </is>
      </c>
      <c r="F341" s="9" t="inlineStr">
        <is>
          <t>Hugging Face</t>
        </is>
      </c>
      <c r="G341" s="9" t="inlineStr">
        <is>
          <t>Ecosystem</t>
        </is>
      </c>
      <c r="H341" s="9" t="inlineStr">
        <is>
          <t>Tokenizer</t>
        </is>
      </c>
      <c r="I341" s="9" t="inlineStr">
        <is>
          <t>Master Tokenizer</t>
        </is>
      </c>
      <c r="J341" s="9" t="inlineStr">
        <is>
          <t>30 min</t>
        </is>
      </c>
      <c r="K341" s="9" t="inlineStr">
        <is>
          <t>30 min</t>
        </is>
      </c>
      <c r="L341" s="9" t="inlineStr">
        <is>
          <t>Code/Implement Tokenizer</t>
        </is>
      </c>
      <c r="M341" s="9" t="inlineStr">
        <is>
          <t>15 min</t>
        </is>
      </c>
      <c r="N341" s="9" t="inlineStr">
        <is>
          <t>How do you leverage Hugging Face for Tokenizer?</t>
        </is>
      </c>
      <c r="O341" s="9" t="inlineStr">
        <is>
          <t>15 min</t>
        </is>
      </c>
      <c r="P341" s="9" t="inlineStr">
        <is>
          <t>Walk me through using HF Tokenizer.</t>
        </is>
      </c>
      <c r="Q341" s="9" t="inlineStr">
        <is>
          <t>Build/Refine code</t>
        </is>
      </c>
      <c r="R341" s="9" t="inlineStr">
        <is>
          <t>-</t>
        </is>
      </c>
      <c r="S341" s="10" t="inlineStr">
        <is>
          <t>☐ Not Started</t>
        </is>
      </c>
      <c r="T341" s="10">
        <f>IF(S341="☑ Completed", "COMPLETED", "NOT STARTED")</f>
        <v/>
      </c>
      <c r="U341" s="9" t="inlineStr">
        <is>
          <t>Review Notes for Day 68</t>
        </is>
      </c>
    </row>
    <row r="342">
      <c r="A342" s="10" t="n">
        <v>69</v>
      </c>
      <c r="B342" s="10" t="inlineStr">
        <is>
          <t>2026-11-07</t>
        </is>
      </c>
      <c r="C342" s="10" t="n">
        <v>10</v>
      </c>
      <c r="D342" s="10" t="n">
        <v>3</v>
      </c>
      <c r="E342" s="9" t="inlineStr">
        <is>
          <t>Month 3</t>
        </is>
      </c>
      <c r="F342" s="9" t="inlineStr">
        <is>
          <t>Hugging Face</t>
        </is>
      </c>
      <c r="G342" s="9" t="inlineStr">
        <is>
          <t>Ecosystem</t>
        </is>
      </c>
      <c r="H342" s="9" t="inlineStr">
        <is>
          <t>Model</t>
        </is>
      </c>
      <c r="I342" s="9" t="inlineStr">
        <is>
          <t>Master Model</t>
        </is>
      </c>
      <c r="J342" s="9" t="inlineStr">
        <is>
          <t>45 min</t>
        </is>
      </c>
      <c r="K342" s="9" t="inlineStr">
        <is>
          <t>45 min</t>
        </is>
      </c>
      <c r="L342" s="9" t="inlineStr">
        <is>
          <t>Code/Implement Model</t>
        </is>
      </c>
      <c r="M342" s="9" t="inlineStr">
        <is>
          <t>15 min</t>
        </is>
      </c>
      <c r="N342" s="9" t="inlineStr">
        <is>
          <t>How do you leverage Hugging Face for Model?</t>
        </is>
      </c>
      <c r="O342" s="9" t="inlineStr">
        <is>
          <t>15 min</t>
        </is>
      </c>
      <c r="P342" s="9" t="inlineStr">
        <is>
          <t>Walk me through using HF Model.</t>
        </is>
      </c>
      <c r="Q342" s="9" t="inlineStr">
        <is>
          <t>Build/Refine code</t>
        </is>
      </c>
      <c r="R342" s="9" t="n">
        <v>15</v>
      </c>
      <c r="S342" s="10" t="inlineStr">
        <is>
          <t>☐ Not Started</t>
        </is>
      </c>
      <c r="T342" s="10">
        <f>IF(S342="☑ Completed", "COMPLETED", "NOT STARTED")</f>
        <v/>
      </c>
      <c r="U342" s="9" t="inlineStr">
        <is>
          <t>Review Notes for Day 69</t>
        </is>
      </c>
    </row>
    <row r="343">
      <c r="A343" s="10" t="n">
        <v>69</v>
      </c>
      <c r="B343" s="10" t="inlineStr">
        <is>
          <t>2026-11-07</t>
        </is>
      </c>
      <c r="C343" s="10" t="n">
        <v>10</v>
      </c>
      <c r="D343" s="10" t="n">
        <v>3</v>
      </c>
      <c r="E343" s="9" t="inlineStr">
        <is>
          <t>Month 3</t>
        </is>
      </c>
      <c r="F343" s="9" t="inlineStr">
        <is>
          <t>Hugging Face</t>
        </is>
      </c>
      <c r="G343" s="9" t="inlineStr">
        <is>
          <t>Ecosystem</t>
        </is>
      </c>
      <c r="H343" s="9" t="inlineStr">
        <is>
          <t>Pipeline</t>
        </is>
      </c>
      <c r="I343" s="9" t="inlineStr">
        <is>
          <t>Master Pipeline</t>
        </is>
      </c>
      <c r="J343" s="9" t="inlineStr">
        <is>
          <t>30 min</t>
        </is>
      </c>
      <c r="K343" s="9" t="inlineStr">
        <is>
          <t>30 min</t>
        </is>
      </c>
      <c r="L343" s="9" t="inlineStr">
        <is>
          <t>Code/Implement Pipeline</t>
        </is>
      </c>
      <c r="M343" s="9" t="inlineStr">
        <is>
          <t>15 min</t>
        </is>
      </c>
      <c r="N343" s="9" t="inlineStr">
        <is>
          <t>How do you leverage Hugging Face for Pipeline?</t>
        </is>
      </c>
      <c r="O343" s="9" t="inlineStr">
        <is>
          <t>15 min</t>
        </is>
      </c>
      <c r="P343" s="9" t="inlineStr">
        <is>
          <t>Walk me through using HF Pipeline.</t>
        </is>
      </c>
      <c r="Q343" s="9" t="inlineStr">
        <is>
          <t>Build/Refine code</t>
        </is>
      </c>
      <c r="R343" s="9" t="inlineStr">
        <is>
          <t>-</t>
        </is>
      </c>
      <c r="S343" s="10" t="inlineStr">
        <is>
          <t>☐ Not Started</t>
        </is>
      </c>
      <c r="T343" s="10">
        <f>IF(S343="☑ Completed", "COMPLETED", "NOT STARTED")</f>
        <v/>
      </c>
      <c r="U343" s="9" t="inlineStr">
        <is>
          <t>Review Notes for Day 69</t>
        </is>
      </c>
    </row>
    <row r="344">
      <c r="A344" s="10" t="n">
        <v>69</v>
      </c>
      <c r="B344" s="10" t="inlineStr">
        <is>
          <t>2026-11-07</t>
        </is>
      </c>
      <c r="C344" s="10" t="n">
        <v>10</v>
      </c>
      <c r="D344" s="10" t="n">
        <v>3</v>
      </c>
      <c r="E344" s="9" t="inlineStr">
        <is>
          <t>Month 3</t>
        </is>
      </c>
      <c r="F344" s="9" t="inlineStr">
        <is>
          <t>Hugging Face</t>
        </is>
      </c>
      <c r="G344" s="9" t="inlineStr">
        <is>
          <t>Ecosystem</t>
        </is>
      </c>
      <c r="H344" s="9" t="inlineStr">
        <is>
          <t>Model loading</t>
        </is>
      </c>
      <c r="I344" s="9" t="inlineStr">
        <is>
          <t>Master Model loading</t>
        </is>
      </c>
      <c r="J344" s="9" t="inlineStr">
        <is>
          <t>30 min</t>
        </is>
      </c>
      <c r="K344" s="9" t="inlineStr">
        <is>
          <t>30 min</t>
        </is>
      </c>
      <c r="L344" s="9" t="inlineStr">
        <is>
          <t>Code/Implement Model loading</t>
        </is>
      </c>
      <c r="M344" s="9" t="inlineStr">
        <is>
          <t>15 min</t>
        </is>
      </c>
      <c r="N344" s="9" t="inlineStr">
        <is>
          <t>How do you leverage Hugging Face for Model loading?</t>
        </is>
      </c>
      <c r="O344" s="9" t="inlineStr">
        <is>
          <t>15 min</t>
        </is>
      </c>
      <c r="P344" s="9" t="inlineStr">
        <is>
          <t>Walk me through using HF Model loading.</t>
        </is>
      </c>
      <c r="Q344" s="9" t="inlineStr">
        <is>
          <t>Build/Refine code</t>
        </is>
      </c>
      <c r="R344" s="9" t="inlineStr">
        <is>
          <t>-</t>
        </is>
      </c>
      <c r="S344" s="10" t="inlineStr">
        <is>
          <t>☐ Not Started</t>
        </is>
      </c>
      <c r="T344" s="10">
        <f>IF(S344="☑ Completed", "COMPLETED", "NOT STARTED")</f>
        <v/>
      </c>
      <c r="U344" s="9" t="inlineStr">
        <is>
          <t>Review Notes for Day 69</t>
        </is>
      </c>
    </row>
    <row r="345">
      <c r="A345" s="10" t="n">
        <v>69</v>
      </c>
      <c r="B345" s="10" t="inlineStr">
        <is>
          <t>2026-11-07</t>
        </is>
      </c>
      <c r="C345" s="10" t="n">
        <v>10</v>
      </c>
      <c r="D345" s="10" t="n">
        <v>3</v>
      </c>
      <c r="E345" s="9" t="inlineStr">
        <is>
          <t>Month 3</t>
        </is>
      </c>
      <c r="F345" s="9" t="inlineStr">
        <is>
          <t>Hugging Face</t>
        </is>
      </c>
      <c r="G345" s="9" t="inlineStr">
        <is>
          <t>Ecosystem</t>
        </is>
      </c>
      <c r="H345" s="9" t="inlineStr">
        <is>
          <t>Inference</t>
        </is>
      </c>
      <c r="I345" s="9" t="inlineStr">
        <is>
          <t>Master Inference</t>
        </is>
      </c>
      <c r="J345" s="9" t="inlineStr">
        <is>
          <t>30 min</t>
        </is>
      </c>
      <c r="K345" s="9" t="inlineStr">
        <is>
          <t>30 min</t>
        </is>
      </c>
      <c r="L345" s="9" t="inlineStr">
        <is>
          <t>Code/Implement Inference</t>
        </is>
      </c>
      <c r="M345" s="9" t="inlineStr">
        <is>
          <t>15 min</t>
        </is>
      </c>
      <c r="N345" s="9" t="inlineStr">
        <is>
          <t>How do you leverage Hugging Face for Inference?</t>
        </is>
      </c>
      <c r="O345" s="9" t="inlineStr">
        <is>
          <t>15 min</t>
        </is>
      </c>
      <c r="P345" s="9" t="inlineStr">
        <is>
          <t>Walk me through using HF Inference.</t>
        </is>
      </c>
      <c r="Q345" s="9" t="inlineStr">
        <is>
          <t>Build/Refine code</t>
        </is>
      </c>
      <c r="R345" s="9" t="inlineStr">
        <is>
          <t>-</t>
        </is>
      </c>
      <c r="S345" s="10" t="inlineStr">
        <is>
          <t>☐ Not Started</t>
        </is>
      </c>
      <c r="T345" s="10">
        <f>IF(S345="☑ Completed", "COMPLETED", "NOT STARTED")</f>
        <v/>
      </c>
      <c r="U345" s="9" t="inlineStr">
        <is>
          <t>Review Notes for Day 69</t>
        </is>
      </c>
    </row>
    <row r="346">
      <c r="A346" s="10" t="n">
        <v>69</v>
      </c>
      <c r="B346" s="10" t="inlineStr">
        <is>
          <t>2026-11-07</t>
        </is>
      </c>
      <c r="C346" s="10" t="n">
        <v>10</v>
      </c>
      <c r="D346" s="10" t="n">
        <v>3</v>
      </c>
      <c r="E346" s="9" t="inlineStr">
        <is>
          <t>Month 3</t>
        </is>
      </c>
      <c r="F346" s="9" t="inlineStr">
        <is>
          <t>Hugging Face</t>
        </is>
      </c>
      <c r="G346" s="9" t="inlineStr">
        <is>
          <t>Ecosystem</t>
        </is>
      </c>
      <c r="H346" s="9" t="inlineStr">
        <is>
          <t>Model selection</t>
        </is>
      </c>
      <c r="I346" s="9" t="inlineStr">
        <is>
          <t>Master Model selection</t>
        </is>
      </c>
      <c r="J346" s="9" t="inlineStr">
        <is>
          <t>30 min</t>
        </is>
      </c>
      <c r="K346" s="9" t="inlineStr">
        <is>
          <t>30 min</t>
        </is>
      </c>
      <c r="L346" s="9" t="inlineStr">
        <is>
          <t>Code/Implement Model selection</t>
        </is>
      </c>
      <c r="M346" s="9" t="inlineStr">
        <is>
          <t>15 min</t>
        </is>
      </c>
      <c r="N346" s="9" t="inlineStr">
        <is>
          <t>How do you leverage Hugging Face for Model selection?</t>
        </is>
      </c>
      <c r="O346" s="9" t="inlineStr">
        <is>
          <t>15 min</t>
        </is>
      </c>
      <c r="P346" s="9" t="inlineStr">
        <is>
          <t>Walk me through using HF Model selection.</t>
        </is>
      </c>
      <c r="Q346" s="9" t="inlineStr">
        <is>
          <t>Build/Refine code</t>
        </is>
      </c>
      <c r="R346" s="9" t="inlineStr">
        <is>
          <t>-</t>
        </is>
      </c>
      <c r="S346" s="10" t="inlineStr">
        <is>
          <t>☐ Not Started</t>
        </is>
      </c>
      <c r="T346" s="10">
        <f>IF(S346="☑ Completed", "COMPLETED", "NOT STARTED")</f>
        <v/>
      </c>
      <c r="U346" s="9" t="inlineStr">
        <is>
          <t>Review Notes for Day 69</t>
        </is>
      </c>
    </row>
    <row r="347">
      <c r="A347" s="10" t="n">
        <v>70</v>
      </c>
      <c r="B347" s="10" t="inlineStr">
        <is>
          <t>2026-11-08</t>
        </is>
      </c>
      <c r="C347" s="10" t="n">
        <v>10</v>
      </c>
      <c r="D347" s="10" t="n">
        <v>3</v>
      </c>
      <c r="E347" s="9" t="inlineStr">
        <is>
          <t>Month 3</t>
        </is>
      </c>
      <c r="F347" s="9" t="inlineStr">
        <is>
          <t>Fine-Tuning</t>
        </is>
      </c>
      <c r="G347" s="9" t="inlineStr">
        <is>
          <t>Concepts</t>
        </is>
      </c>
      <c r="H347" s="9" t="inlineStr">
        <is>
          <t>Fine-tuning</t>
        </is>
      </c>
      <c r="I347" s="9" t="inlineStr">
        <is>
          <t>Master Fine-tuning</t>
        </is>
      </c>
      <c r="J347" s="9" t="inlineStr">
        <is>
          <t>45 min</t>
        </is>
      </c>
      <c r="K347" s="9" t="inlineStr">
        <is>
          <t>45 min</t>
        </is>
      </c>
      <c r="L347" s="9" t="inlineStr">
        <is>
          <t>Code/Implement Fine-tuning</t>
        </is>
      </c>
      <c r="M347" s="9" t="inlineStr">
        <is>
          <t>15 min</t>
        </is>
      </c>
      <c r="N347" s="9" t="inlineStr">
        <is>
          <t>What are the trade-offs of Fine-tuning?</t>
        </is>
      </c>
      <c r="O347" s="9" t="inlineStr">
        <is>
          <t>15 min</t>
        </is>
      </c>
      <c r="P347" s="9" t="inlineStr">
        <is>
          <t>Explain why Fine-tuning is preferred for large models.</t>
        </is>
      </c>
      <c r="Q347" s="9" t="inlineStr">
        <is>
          <t>Build/Refine code</t>
        </is>
      </c>
      <c r="R347" s="9" t="n">
        <v>15</v>
      </c>
      <c r="S347" s="10" t="inlineStr">
        <is>
          <t>☐ Not Started</t>
        </is>
      </c>
      <c r="T347" s="10">
        <f>IF(S347="☑ Completed", "COMPLETED", "NOT STARTED")</f>
        <v/>
      </c>
      <c r="U347" s="9" t="inlineStr">
        <is>
          <t>Review Notes for Day 70</t>
        </is>
      </c>
    </row>
    <row r="348">
      <c r="A348" s="10" t="n">
        <v>70</v>
      </c>
      <c r="B348" s="10" t="inlineStr">
        <is>
          <t>2026-11-08</t>
        </is>
      </c>
      <c r="C348" s="10" t="n">
        <v>10</v>
      </c>
      <c r="D348" s="10" t="n">
        <v>3</v>
      </c>
      <c r="E348" s="9" t="inlineStr">
        <is>
          <t>Month 3</t>
        </is>
      </c>
      <c r="F348" s="9" t="inlineStr">
        <is>
          <t>Fine-Tuning</t>
        </is>
      </c>
      <c r="G348" s="9" t="inlineStr">
        <is>
          <t>Concepts</t>
        </is>
      </c>
      <c r="H348" s="9" t="inlineStr">
        <is>
          <t>Transfer learning</t>
        </is>
      </c>
      <c r="I348" s="9" t="inlineStr">
        <is>
          <t>Master Transfer learning</t>
        </is>
      </c>
      <c r="J348" s="9" t="inlineStr">
        <is>
          <t>30 min</t>
        </is>
      </c>
      <c r="K348" s="9" t="inlineStr">
        <is>
          <t>30 min</t>
        </is>
      </c>
      <c r="L348" s="9" t="inlineStr">
        <is>
          <t>Code/Implement Transfer learning</t>
        </is>
      </c>
      <c r="M348" s="9" t="inlineStr">
        <is>
          <t>15 min</t>
        </is>
      </c>
      <c r="N348" s="9" t="inlineStr">
        <is>
          <t>What are the trade-offs of Transfer learning?</t>
        </is>
      </c>
      <c r="O348" s="9" t="inlineStr">
        <is>
          <t>15 min</t>
        </is>
      </c>
      <c r="P348" s="9" t="inlineStr">
        <is>
          <t>Explain why Transfer learning is preferred for large models.</t>
        </is>
      </c>
      <c r="Q348" s="9" t="inlineStr">
        <is>
          <t>Build/Refine code</t>
        </is>
      </c>
      <c r="R348" s="9" t="inlineStr">
        <is>
          <t>-</t>
        </is>
      </c>
      <c r="S348" s="10" t="inlineStr">
        <is>
          <t>☐ Not Started</t>
        </is>
      </c>
      <c r="T348" s="10">
        <f>IF(S348="☑ Completed", "COMPLETED", "NOT STARTED")</f>
        <v/>
      </c>
      <c r="U348" s="9" t="inlineStr">
        <is>
          <t>Review Notes for Day 70</t>
        </is>
      </c>
    </row>
    <row r="349">
      <c r="A349" s="10" t="n">
        <v>70</v>
      </c>
      <c r="B349" s="10" t="inlineStr">
        <is>
          <t>2026-11-08</t>
        </is>
      </c>
      <c r="C349" s="10" t="n">
        <v>10</v>
      </c>
      <c r="D349" s="10" t="n">
        <v>3</v>
      </c>
      <c r="E349" s="9" t="inlineStr">
        <is>
          <t>Month 3</t>
        </is>
      </c>
      <c r="F349" s="9" t="inlineStr">
        <is>
          <t>Fine-Tuning</t>
        </is>
      </c>
      <c r="G349" s="9" t="inlineStr">
        <is>
          <t>Concepts</t>
        </is>
      </c>
      <c r="H349" s="9" t="inlineStr">
        <is>
          <t>LoRA</t>
        </is>
      </c>
      <c r="I349" s="9" t="inlineStr">
        <is>
          <t>Master LoRA</t>
        </is>
      </c>
      <c r="J349" s="9" t="inlineStr">
        <is>
          <t>30 min</t>
        </is>
      </c>
      <c r="K349" s="9" t="inlineStr">
        <is>
          <t>30 min</t>
        </is>
      </c>
      <c r="L349" s="9" t="inlineStr">
        <is>
          <t>Code/Implement LoRA</t>
        </is>
      </c>
      <c r="M349" s="9" t="inlineStr">
        <is>
          <t>15 min</t>
        </is>
      </c>
      <c r="N349" s="9" t="inlineStr">
        <is>
          <t>What are the trade-offs of LoRA?</t>
        </is>
      </c>
      <c r="O349" s="9" t="inlineStr">
        <is>
          <t>15 min</t>
        </is>
      </c>
      <c r="P349" s="9" t="inlineStr">
        <is>
          <t>Explain why LoRA is preferred for large models.</t>
        </is>
      </c>
      <c r="Q349" s="9" t="inlineStr">
        <is>
          <t>Build/Refine code</t>
        </is>
      </c>
      <c r="R349" s="9" t="inlineStr">
        <is>
          <t>-</t>
        </is>
      </c>
      <c r="S349" s="10" t="inlineStr">
        <is>
          <t>☐ Not Started</t>
        </is>
      </c>
      <c r="T349" s="10">
        <f>IF(S349="☑ Completed", "COMPLETED", "NOT STARTED")</f>
        <v/>
      </c>
      <c r="U349" s="9" t="inlineStr">
        <is>
          <t>Review Notes for Day 70</t>
        </is>
      </c>
    </row>
    <row r="350">
      <c r="A350" s="10" t="n">
        <v>70</v>
      </c>
      <c r="B350" s="10" t="inlineStr">
        <is>
          <t>2026-11-08</t>
        </is>
      </c>
      <c r="C350" s="10" t="n">
        <v>10</v>
      </c>
      <c r="D350" s="10" t="n">
        <v>3</v>
      </c>
      <c r="E350" s="9" t="inlineStr">
        <is>
          <t>Month 3</t>
        </is>
      </c>
      <c r="F350" s="9" t="inlineStr">
        <is>
          <t>Fine-Tuning</t>
        </is>
      </c>
      <c r="G350" s="9" t="inlineStr">
        <is>
          <t>Concepts</t>
        </is>
      </c>
      <c r="H350" s="9" t="inlineStr">
        <is>
          <t>PEFT</t>
        </is>
      </c>
      <c r="I350" s="9" t="inlineStr">
        <is>
          <t>Master PEFT</t>
        </is>
      </c>
      <c r="J350" s="9" t="inlineStr">
        <is>
          <t>30 min</t>
        </is>
      </c>
      <c r="K350" s="9" t="inlineStr">
        <is>
          <t>30 min</t>
        </is>
      </c>
      <c r="L350" s="9" t="inlineStr">
        <is>
          <t>Code/Implement PEFT</t>
        </is>
      </c>
      <c r="M350" s="9" t="inlineStr">
        <is>
          <t>15 min</t>
        </is>
      </c>
      <c r="N350" s="9" t="inlineStr">
        <is>
          <t>What are the trade-offs of PEFT?</t>
        </is>
      </c>
      <c r="O350" s="9" t="inlineStr">
        <is>
          <t>15 min</t>
        </is>
      </c>
      <c r="P350" s="9" t="inlineStr">
        <is>
          <t>Explain why PEFT is preferred for large models.</t>
        </is>
      </c>
      <c r="Q350" s="9" t="inlineStr">
        <is>
          <t>Build/Refine code</t>
        </is>
      </c>
      <c r="R350" s="9" t="inlineStr">
        <is>
          <t>-</t>
        </is>
      </c>
      <c r="S350" s="10" t="inlineStr">
        <is>
          <t>☐ Not Started</t>
        </is>
      </c>
      <c r="T350" s="10">
        <f>IF(S350="☑ Completed", "COMPLETED", "NOT STARTED")</f>
        <v/>
      </c>
      <c r="U350" s="9" t="inlineStr">
        <is>
          <t>Review Notes for Day 70</t>
        </is>
      </c>
    </row>
    <row r="351">
      <c r="A351" s="10" t="n">
        <v>70</v>
      </c>
      <c r="B351" s="10" t="inlineStr">
        <is>
          <t>2026-11-08</t>
        </is>
      </c>
      <c r="C351" s="10" t="n">
        <v>10</v>
      </c>
      <c r="D351" s="10" t="n">
        <v>3</v>
      </c>
      <c r="E351" s="9" t="inlineStr">
        <is>
          <t>Month 3</t>
        </is>
      </c>
      <c r="F351" s="9" t="inlineStr">
        <is>
          <t>Fine-Tuning</t>
        </is>
      </c>
      <c r="G351" s="9" t="inlineStr">
        <is>
          <t>Concepts</t>
        </is>
      </c>
      <c r="H351" s="9" t="inlineStr">
        <is>
          <t>QLoRA</t>
        </is>
      </c>
      <c r="I351" s="9" t="inlineStr">
        <is>
          <t>Master QLoRA</t>
        </is>
      </c>
      <c r="J351" s="9" t="inlineStr">
        <is>
          <t>30 min</t>
        </is>
      </c>
      <c r="K351" s="9" t="inlineStr">
        <is>
          <t>30 min</t>
        </is>
      </c>
      <c r="L351" s="9" t="inlineStr">
        <is>
          <t>Code/Implement QLoRA</t>
        </is>
      </c>
      <c r="M351" s="9" t="inlineStr">
        <is>
          <t>15 min</t>
        </is>
      </c>
      <c r="N351" s="9" t="inlineStr">
        <is>
          <t>What are the trade-offs of QLoRA?</t>
        </is>
      </c>
      <c r="O351" s="9" t="inlineStr">
        <is>
          <t>15 min</t>
        </is>
      </c>
      <c r="P351" s="9" t="inlineStr">
        <is>
          <t>Explain why QLoRA is preferred for large models.</t>
        </is>
      </c>
      <c r="Q351" s="9" t="inlineStr">
        <is>
          <t>Build/Refine code</t>
        </is>
      </c>
      <c r="R351" s="9" t="inlineStr">
        <is>
          <t>-</t>
        </is>
      </c>
      <c r="S351" s="10" t="inlineStr">
        <is>
          <t>☐ Not Started</t>
        </is>
      </c>
      <c r="T351" s="10">
        <f>IF(S351="☑ Completed", "COMPLETED", "NOT STARTED")</f>
        <v/>
      </c>
      <c r="U351" s="9" t="inlineStr">
        <is>
          <t>Review Notes for Day 70</t>
        </is>
      </c>
    </row>
    <row r="352">
      <c r="A352" s="10" t="n">
        <v>71</v>
      </c>
      <c r="B352" s="10" t="inlineStr">
        <is>
          <t>2026-11-09</t>
        </is>
      </c>
      <c r="C352" s="10" t="n">
        <v>11</v>
      </c>
      <c r="D352" s="10" t="n">
        <v>3</v>
      </c>
      <c r="E352" s="9" t="inlineStr">
        <is>
          <t>Month 3</t>
        </is>
      </c>
      <c r="F352" s="9" t="inlineStr">
        <is>
          <t>Fine-Tuning</t>
        </is>
      </c>
      <c r="G352" s="9" t="inlineStr">
        <is>
          <t>Concepts</t>
        </is>
      </c>
      <c r="H352" s="9" t="inlineStr">
        <is>
          <t>Fine-tuning vs RAG</t>
        </is>
      </c>
      <c r="I352" s="9" t="inlineStr">
        <is>
          <t>Master Fine-tuning vs RAG</t>
        </is>
      </c>
      <c r="J352" s="9" t="inlineStr">
        <is>
          <t>45 min</t>
        </is>
      </c>
      <c r="K352" s="9" t="inlineStr">
        <is>
          <t>45 min</t>
        </is>
      </c>
      <c r="L352" s="9" t="inlineStr">
        <is>
          <t>Code/Implement Fine-tuning vs RAG</t>
        </is>
      </c>
      <c r="M352" s="9" t="inlineStr">
        <is>
          <t>15 min</t>
        </is>
      </c>
      <c r="N352" s="9" t="inlineStr">
        <is>
          <t>What are the trade-offs of Fine-tuning vs RAG?</t>
        </is>
      </c>
      <c r="O352" s="9" t="inlineStr">
        <is>
          <t>15 min</t>
        </is>
      </c>
      <c r="P352" s="9" t="inlineStr">
        <is>
          <t>Explain why Fine-tuning vs RAG is preferred for large models.</t>
        </is>
      </c>
      <c r="Q352" s="9" t="inlineStr">
        <is>
          <t>Build/Refine code</t>
        </is>
      </c>
      <c r="R352" s="9" t="n">
        <v>15</v>
      </c>
      <c r="S352" s="10" t="inlineStr">
        <is>
          <t>☐ Not Started</t>
        </is>
      </c>
      <c r="T352" s="10">
        <f>IF(S352="☑ Completed", "COMPLETED", "NOT STARTED")</f>
        <v/>
      </c>
      <c r="U352" s="9" t="inlineStr">
        <is>
          <t>Review Notes for Day 71</t>
        </is>
      </c>
    </row>
    <row r="353">
      <c r="A353" s="10" t="n">
        <v>71</v>
      </c>
      <c r="B353" s="10" t="inlineStr">
        <is>
          <t>2026-11-09</t>
        </is>
      </c>
      <c r="C353" s="10" t="n">
        <v>11</v>
      </c>
      <c r="D353" s="10" t="n">
        <v>3</v>
      </c>
      <c r="E353" s="9" t="inlineStr">
        <is>
          <t>Month 3</t>
        </is>
      </c>
      <c r="F353" s="9" t="inlineStr">
        <is>
          <t>RAG</t>
        </is>
      </c>
      <c r="G353" s="9" t="inlineStr">
        <is>
          <t>Concepts</t>
        </is>
      </c>
      <c r="H353" s="9" t="inlineStr">
        <is>
          <t>RAG concept</t>
        </is>
      </c>
      <c r="I353" s="9" t="inlineStr">
        <is>
          <t>Master RAG concept</t>
        </is>
      </c>
      <c r="J353" s="9" t="inlineStr">
        <is>
          <t>30 min</t>
        </is>
      </c>
      <c r="K353" s="9" t="inlineStr">
        <is>
          <t>30 min</t>
        </is>
      </c>
      <c r="L353" s="9" t="inlineStr">
        <is>
          <t>Code/Implement RAG concept</t>
        </is>
      </c>
      <c r="M353" s="9" t="inlineStr">
        <is>
          <t>15 min</t>
        </is>
      </c>
      <c r="N353" s="9" t="inlineStr">
        <is>
          <t>How does RAG concept improve the RAG pipeline?</t>
        </is>
      </c>
      <c r="O353" s="9" t="inlineStr">
        <is>
          <t>15 min</t>
        </is>
      </c>
      <c r="P353" s="9" t="inlineStr">
        <is>
          <t>Explain the role of RAG concept in Retrieval-Augmented Generation.</t>
        </is>
      </c>
      <c r="Q353" s="9" t="inlineStr">
        <is>
          <t>Build/Refine code</t>
        </is>
      </c>
      <c r="R353" s="9" t="inlineStr">
        <is>
          <t>-</t>
        </is>
      </c>
      <c r="S353" s="10" t="inlineStr">
        <is>
          <t>☐ Not Started</t>
        </is>
      </c>
      <c r="T353" s="10">
        <f>IF(S353="☑ Completed", "COMPLETED", "NOT STARTED")</f>
        <v/>
      </c>
      <c r="U353" s="9" t="inlineStr">
        <is>
          <t>Review Notes for Day 71</t>
        </is>
      </c>
    </row>
    <row r="354">
      <c r="A354" s="10" t="n">
        <v>71</v>
      </c>
      <c r="B354" s="10" t="inlineStr">
        <is>
          <t>2026-11-09</t>
        </is>
      </c>
      <c r="C354" s="10" t="n">
        <v>11</v>
      </c>
      <c r="D354" s="10" t="n">
        <v>3</v>
      </c>
      <c r="E354" s="9" t="inlineStr">
        <is>
          <t>Month 3</t>
        </is>
      </c>
      <c r="F354" s="9" t="inlineStr">
        <is>
          <t>RAG</t>
        </is>
      </c>
      <c r="G354" s="9" t="inlineStr">
        <is>
          <t>Concepts</t>
        </is>
      </c>
      <c r="H354" s="9" t="inlineStr">
        <is>
          <t>RAG architecture</t>
        </is>
      </c>
      <c r="I354" s="9" t="inlineStr">
        <is>
          <t>Master RAG architecture</t>
        </is>
      </c>
      <c r="J354" s="9" t="inlineStr">
        <is>
          <t>30 min</t>
        </is>
      </c>
      <c r="K354" s="9" t="inlineStr">
        <is>
          <t>30 min</t>
        </is>
      </c>
      <c r="L354" s="9" t="inlineStr">
        <is>
          <t>Code/Implement RAG architecture</t>
        </is>
      </c>
      <c r="M354" s="9" t="inlineStr">
        <is>
          <t>15 min</t>
        </is>
      </c>
      <c r="N354" s="9" t="inlineStr">
        <is>
          <t>How does RAG architecture improve the RAG pipeline?</t>
        </is>
      </c>
      <c r="O354" s="9" t="inlineStr">
        <is>
          <t>15 min</t>
        </is>
      </c>
      <c r="P354" s="9" t="inlineStr">
        <is>
          <t>Explain the role of RAG architecture in Retrieval-Augmented Generation.</t>
        </is>
      </c>
      <c r="Q354" s="9" t="inlineStr">
        <is>
          <t>Build/Refine code</t>
        </is>
      </c>
      <c r="R354" s="9" t="inlineStr">
        <is>
          <t>-</t>
        </is>
      </c>
      <c r="S354" s="10" t="inlineStr">
        <is>
          <t>☐ Not Started</t>
        </is>
      </c>
      <c r="T354" s="10">
        <f>IF(S354="☑ Completed", "COMPLETED", "NOT STARTED")</f>
        <v/>
      </c>
      <c r="U354" s="9" t="inlineStr">
        <is>
          <t>Review Notes for Day 71</t>
        </is>
      </c>
    </row>
    <row r="355">
      <c r="A355" s="10" t="n">
        <v>71</v>
      </c>
      <c r="B355" s="10" t="inlineStr">
        <is>
          <t>2026-11-09</t>
        </is>
      </c>
      <c r="C355" s="10" t="n">
        <v>11</v>
      </c>
      <c r="D355" s="10" t="n">
        <v>3</v>
      </c>
      <c r="E355" s="9" t="inlineStr">
        <is>
          <t>Month 3</t>
        </is>
      </c>
      <c r="F355" s="9" t="inlineStr">
        <is>
          <t>RAG</t>
        </is>
      </c>
      <c r="G355" s="9" t="inlineStr">
        <is>
          <t>Concepts</t>
        </is>
      </c>
      <c r="H355" s="9" t="inlineStr">
        <is>
          <t>Document loaders</t>
        </is>
      </c>
      <c r="I355" s="9" t="inlineStr">
        <is>
          <t>Master Document loaders</t>
        </is>
      </c>
      <c r="J355" s="9" t="inlineStr">
        <is>
          <t>30 min</t>
        </is>
      </c>
      <c r="K355" s="9" t="inlineStr">
        <is>
          <t>30 min</t>
        </is>
      </c>
      <c r="L355" s="9" t="inlineStr">
        <is>
          <t>Code/Implement Document loaders</t>
        </is>
      </c>
      <c r="M355" s="9" t="inlineStr">
        <is>
          <t>15 min</t>
        </is>
      </c>
      <c r="N355" s="9" t="inlineStr">
        <is>
          <t>How does Document loaders improve the RAG pipeline?</t>
        </is>
      </c>
      <c r="O355" s="9" t="inlineStr">
        <is>
          <t>15 min</t>
        </is>
      </c>
      <c r="P355" s="9" t="inlineStr">
        <is>
          <t>Explain the role of Document loaders in Retrieval-Augmented Generation.</t>
        </is>
      </c>
      <c r="Q355" s="9" t="inlineStr">
        <is>
          <t>Build/Refine code</t>
        </is>
      </c>
      <c r="R355" s="9" t="inlineStr">
        <is>
          <t>-</t>
        </is>
      </c>
      <c r="S355" s="10" t="inlineStr">
        <is>
          <t>☐ Not Started</t>
        </is>
      </c>
      <c r="T355" s="10">
        <f>IF(S355="☑ Completed", "COMPLETED", "NOT STARTED")</f>
        <v/>
      </c>
      <c r="U355" s="9" t="inlineStr">
        <is>
          <t>Review Notes for Day 71</t>
        </is>
      </c>
    </row>
    <row r="356">
      <c r="A356" s="10" t="n">
        <v>71</v>
      </c>
      <c r="B356" s="10" t="inlineStr">
        <is>
          <t>2026-11-09</t>
        </is>
      </c>
      <c r="C356" s="10" t="n">
        <v>11</v>
      </c>
      <c r="D356" s="10" t="n">
        <v>3</v>
      </c>
      <c r="E356" s="9" t="inlineStr">
        <is>
          <t>Month 3</t>
        </is>
      </c>
      <c r="F356" s="9" t="inlineStr">
        <is>
          <t>RAG</t>
        </is>
      </c>
      <c r="G356" s="9" t="inlineStr">
        <is>
          <t>Concepts</t>
        </is>
      </c>
      <c r="H356" s="9" t="inlineStr">
        <is>
          <t>PDF loading</t>
        </is>
      </c>
      <c r="I356" s="9" t="inlineStr">
        <is>
          <t>Master PDF loading</t>
        </is>
      </c>
      <c r="J356" s="9" t="inlineStr">
        <is>
          <t>30 min</t>
        </is>
      </c>
      <c r="K356" s="9" t="inlineStr">
        <is>
          <t>30 min</t>
        </is>
      </c>
      <c r="L356" s="9" t="inlineStr">
        <is>
          <t>Code/Implement PDF loading</t>
        </is>
      </c>
      <c r="M356" s="9" t="inlineStr">
        <is>
          <t>15 min</t>
        </is>
      </c>
      <c r="N356" s="9" t="inlineStr">
        <is>
          <t>How does PDF loading improve the RAG pipeline?</t>
        </is>
      </c>
      <c r="O356" s="9" t="inlineStr">
        <is>
          <t>15 min</t>
        </is>
      </c>
      <c r="P356" s="9" t="inlineStr">
        <is>
          <t>Explain the role of PDF loading in Retrieval-Augmented Generation.</t>
        </is>
      </c>
      <c r="Q356" s="9" t="inlineStr">
        <is>
          <t>Build/Refine code</t>
        </is>
      </c>
      <c r="R356" s="9" t="inlineStr">
        <is>
          <t>-</t>
        </is>
      </c>
      <c r="S356" s="10" t="inlineStr">
        <is>
          <t>☐ Not Started</t>
        </is>
      </c>
      <c r="T356" s="10">
        <f>IF(S356="☑ Completed", "COMPLETED", "NOT STARTED")</f>
        <v/>
      </c>
      <c r="U356" s="9" t="inlineStr">
        <is>
          <t>Review Notes for Day 71</t>
        </is>
      </c>
    </row>
    <row r="357">
      <c r="A357" s="10" t="n">
        <v>72</v>
      </c>
      <c r="B357" s="10" t="inlineStr">
        <is>
          <t>2026-11-10</t>
        </is>
      </c>
      <c r="C357" s="10" t="n">
        <v>11</v>
      </c>
      <c r="D357" s="10" t="n">
        <v>3</v>
      </c>
      <c r="E357" s="9" t="inlineStr">
        <is>
          <t>Month 3</t>
        </is>
      </c>
      <c r="F357" s="9" t="inlineStr">
        <is>
          <t>RAG</t>
        </is>
      </c>
      <c r="G357" s="9" t="inlineStr">
        <is>
          <t>Concepts</t>
        </is>
      </c>
      <c r="H357" s="9" t="inlineStr">
        <is>
          <t>Text extraction</t>
        </is>
      </c>
      <c r="I357" s="9" t="inlineStr">
        <is>
          <t>Master Text extraction</t>
        </is>
      </c>
      <c r="J357" s="9" t="inlineStr">
        <is>
          <t>45 min</t>
        </is>
      </c>
      <c r="K357" s="9" t="inlineStr">
        <is>
          <t>45 min</t>
        </is>
      </c>
      <c r="L357" s="9" t="inlineStr">
        <is>
          <t>Code/Implement Text extraction</t>
        </is>
      </c>
      <c r="M357" s="9" t="inlineStr">
        <is>
          <t>15 min</t>
        </is>
      </c>
      <c r="N357" s="9" t="inlineStr">
        <is>
          <t>How does Text extraction improve the RAG pipeline?</t>
        </is>
      </c>
      <c r="O357" s="9" t="inlineStr">
        <is>
          <t>15 min</t>
        </is>
      </c>
      <c r="P357" s="9" t="inlineStr">
        <is>
          <t>Explain the role of Text extraction in Retrieval-Augmented Generation.</t>
        </is>
      </c>
      <c r="Q357" s="9" t="inlineStr">
        <is>
          <t>Build/Refine code</t>
        </is>
      </c>
      <c r="R357" s="9" t="n">
        <v>15</v>
      </c>
      <c r="S357" s="10" t="inlineStr">
        <is>
          <t>☐ Not Started</t>
        </is>
      </c>
      <c r="T357" s="10">
        <f>IF(S357="☑ Completed", "COMPLETED", "NOT STARTED")</f>
        <v/>
      </c>
      <c r="U357" s="9" t="inlineStr">
        <is>
          <t>Review Notes for Day 72</t>
        </is>
      </c>
    </row>
    <row r="358">
      <c r="A358" s="10" t="n">
        <v>72</v>
      </c>
      <c r="B358" s="10" t="inlineStr">
        <is>
          <t>2026-11-10</t>
        </is>
      </c>
      <c r="C358" s="10" t="n">
        <v>11</v>
      </c>
      <c r="D358" s="10" t="n">
        <v>3</v>
      </c>
      <c r="E358" s="9" t="inlineStr">
        <is>
          <t>Month 3</t>
        </is>
      </c>
      <c r="F358" s="9" t="inlineStr">
        <is>
          <t>RAG</t>
        </is>
      </c>
      <c r="G358" s="9" t="inlineStr">
        <is>
          <t>Concepts</t>
        </is>
      </c>
      <c r="H358" s="9" t="inlineStr">
        <is>
          <t>Text cleaning</t>
        </is>
      </c>
      <c r="I358" s="9" t="inlineStr">
        <is>
          <t>Master Text cleaning</t>
        </is>
      </c>
      <c r="J358" s="9" t="inlineStr">
        <is>
          <t>30 min</t>
        </is>
      </c>
      <c r="K358" s="9" t="inlineStr">
        <is>
          <t>30 min</t>
        </is>
      </c>
      <c r="L358" s="9" t="inlineStr">
        <is>
          <t>Code/Implement Text cleaning</t>
        </is>
      </c>
      <c r="M358" s="9" t="inlineStr">
        <is>
          <t>15 min</t>
        </is>
      </c>
      <c r="N358" s="9" t="inlineStr">
        <is>
          <t>How does Text cleaning improve the RAG pipeline?</t>
        </is>
      </c>
      <c r="O358" s="9" t="inlineStr">
        <is>
          <t>15 min</t>
        </is>
      </c>
      <c r="P358" s="9" t="inlineStr">
        <is>
          <t>Explain the role of Text cleaning in Retrieval-Augmented Generation.</t>
        </is>
      </c>
      <c r="Q358" s="9" t="inlineStr">
        <is>
          <t>Build/Refine code</t>
        </is>
      </c>
      <c r="R358" s="9" t="inlineStr">
        <is>
          <t>-</t>
        </is>
      </c>
      <c r="S358" s="10" t="inlineStr">
        <is>
          <t>☐ Not Started</t>
        </is>
      </c>
      <c r="T358" s="10">
        <f>IF(S358="☑ Completed", "COMPLETED", "NOT STARTED")</f>
        <v/>
      </c>
      <c r="U358" s="9" t="inlineStr">
        <is>
          <t>Review Notes for Day 72</t>
        </is>
      </c>
    </row>
    <row r="359">
      <c r="A359" s="10" t="n">
        <v>72</v>
      </c>
      <c r="B359" s="10" t="inlineStr">
        <is>
          <t>2026-11-10</t>
        </is>
      </c>
      <c r="C359" s="10" t="n">
        <v>11</v>
      </c>
      <c r="D359" s="10" t="n">
        <v>3</v>
      </c>
      <c r="E359" s="9" t="inlineStr">
        <is>
          <t>Month 3</t>
        </is>
      </c>
      <c r="F359" s="9" t="inlineStr">
        <is>
          <t>RAG</t>
        </is>
      </c>
      <c r="G359" s="9" t="inlineStr">
        <is>
          <t>Concepts</t>
        </is>
      </c>
      <c r="H359" s="9" t="inlineStr">
        <is>
          <t>Chunking</t>
        </is>
      </c>
      <c r="I359" s="9" t="inlineStr">
        <is>
          <t>Master Chunking</t>
        </is>
      </c>
      <c r="J359" s="9" t="inlineStr">
        <is>
          <t>30 min</t>
        </is>
      </c>
      <c r="K359" s="9" t="inlineStr">
        <is>
          <t>30 min</t>
        </is>
      </c>
      <c r="L359" s="9" t="inlineStr">
        <is>
          <t>Code/Implement Chunking</t>
        </is>
      </c>
      <c r="M359" s="9" t="inlineStr">
        <is>
          <t>15 min</t>
        </is>
      </c>
      <c r="N359" s="9" t="inlineStr">
        <is>
          <t>How does Chunking improve the RAG pipeline?</t>
        </is>
      </c>
      <c r="O359" s="9" t="inlineStr">
        <is>
          <t>15 min</t>
        </is>
      </c>
      <c r="P359" s="9" t="inlineStr">
        <is>
          <t>Explain the role of Chunking in Retrieval-Augmented Generation.</t>
        </is>
      </c>
      <c r="Q359" s="9" t="inlineStr">
        <is>
          <t>Build/Refine code</t>
        </is>
      </c>
      <c r="R359" s="9" t="inlineStr">
        <is>
          <t>-</t>
        </is>
      </c>
      <c r="S359" s="10" t="inlineStr">
        <is>
          <t>☐ Not Started</t>
        </is>
      </c>
      <c r="T359" s="10">
        <f>IF(S359="☑ Completed", "COMPLETED", "NOT STARTED")</f>
        <v/>
      </c>
      <c r="U359" s="9" t="inlineStr">
        <is>
          <t>Review Notes for Day 72</t>
        </is>
      </c>
    </row>
    <row r="360">
      <c r="A360" s="10" t="n">
        <v>72</v>
      </c>
      <c r="B360" s="10" t="inlineStr">
        <is>
          <t>2026-11-10</t>
        </is>
      </c>
      <c r="C360" s="10" t="n">
        <v>11</v>
      </c>
      <c r="D360" s="10" t="n">
        <v>3</v>
      </c>
      <c r="E360" s="9" t="inlineStr">
        <is>
          <t>Month 3</t>
        </is>
      </c>
      <c r="F360" s="9" t="inlineStr">
        <is>
          <t>RAG</t>
        </is>
      </c>
      <c r="G360" s="9" t="inlineStr">
        <is>
          <t>Concepts</t>
        </is>
      </c>
      <c r="H360" s="9" t="inlineStr">
        <is>
          <t>Chunk size</t>
        </is>
      </c>
      <c r="I360" s="9" t="inlineStr">
        <is>
          <t>Master Chunk size</t>
        </is>
      </c>
      <c r="J360" s="9" t="inlineStr">
        <is>
          <t>30 min</t>
        </is>
      </c>
      <c r="K360" s="9" t="inlineStr">
        <is>
          <t>30 min</t>
        </is>
      </c>
      <c r="L360" s="9" t="inlineStr">
        <is>
          <t>Code/Implement Chunk size</t>
        </is>
      </c>
      <c r="M360" s="9" t="inlineStr">
        <is>
          <t>15 min</t>
        </is>
      </c>
      <c r="N360" s="9" t="inlineStr">
        <is>
          <t>How does Chunk size improve the RAG pipeline?</t>
        </is>
      </c>
      <c r="O360" s="9" t="inlineStr">
        <is>
          <t>15 min</t>
        </is>
      </c>
      <c r="P360" s="9" t="inlineStr">
        <is>
          <t>Explain the role of Chunk size in Retrieval-Augmented Generation.</t>
        </is>
      </c>
      <c r="Q360" s="9" t="inlineStr">
        <is>
          <t>Build/Refine code</t>
        </is>
      </c>
      <c r="R360" s="9" t="inlineStr">
        <is>
          <t>-</t>
        </is>
      </c>
      <c r="S360" s="10" t="inlineStr">
        <is>
          <t>☐ Not Started</t>
        </is>
      </c>
      <c r="T360" s="10">
        <f>IF(S360="☑ Completed", "COMPLETED", "NOT STARTED")</f>
        <v/>
      </c>
      <c r="U360" s="9" t="inlineStr">
        <is>
          <t>Review Notes for Day 72</t>
        </is>
      </c>
    </row>
    <row r="361">
      <c r="A361" s="10" t="n">
        <v>72</v>
      </c>
      <c r="B361" s="10" t="inlineStr">
        <is>
          <t>2026-11-10</t>
        </is>
      </c>
      <c r="C361" s="10" t="n">
        <v>11</v>
      </c>
      <c r="D361" s="10" t="n">
        <v>3</v>
      </c>
      <c r="E361" s="9" t="inlineStr">
        <is>
          <t>Month 3</t>
        </is>
      </c>
      <c r="F361" s="9" t="inlineStr">
        <is>
          <t>RAG</t>
        </is>
      </c>
      <c r="G361" s="9" t="inlineStr">
        <is>
          <t>Concepts</t>
        </is>
      </c>
      <c r="H361" s="9" t="inlineStr">
        <is>
          <t>Chunk overlap</t>
        </is>
      </c>
      <c r="I361" s="9" t="inlineStr">
        <is>
          <t>Master Chunk overlap</t>
        </is>
      </c>
      <c r="J361" s="9" t="inlineStr">
        <is>
          <t>30 min</t>
        </is>
      </c>
      <c r="K361" s="9" t="inlineStr">
        <is>
          <t>30 min</t>
        </is>
      </c>
      <c r="L361" s="9" t="inlineStr">
        <is>
          <t>Code/Implement Chunk overlap</t>
        </is>
      </c>
      <c r="M361" s="9" t="inlineStr">
        <is>
          <t>15 min</t>
        </is>
      </c>
      <c r="N361" s="9" t="inlineStr">
        <is>
          <t>How does Chunk overlap improve the RAG pipeline?</t>
        </is>
      </c>
      <c r="O361" s="9" t="inlineStr">
        <is>
          <t>15 min</t>
        </is>
      </c>
      <c r="P361" s="9" t="inlineStr">
        <is>
          <t>Explain the role of Chunk overlap in Retrieval-Augmented Generation.</t>
        </is>
      </c>
      <c r="Q361" s="9" t="inlineStr">
        <is>
          <t>Build/Refine code</t>
        </is>
      </c>
      <c r="R361" s="9" t="inlineStr">
        <is>
          <t>-</t>
        </is>
      </c>
      <c r="S361" s="10" t="inlineStr">
        <is>
          <t>☐ Not Started</t>
        </is>
      </c>
      <c r="T361" s="10">
        <f>IF(S361="☑ Completed", "COMPLETED", "NOT STARTED")</f>
        <v/>
      </c>
      <c r="U361" s="9" t="inlineStr">
        <is>
          <t>Review Notes for Day 72</t>
        </is>
      </c>
    </row>
    <row r="362">
      <c r="A362" s="10" t="n">
        <v>73</v>
      </c>
      <c r="B362" s="10" t="inlineStr">
        <is>
          <t>2026-11-11</t>
        </is>
      </c>
      <c r="C362" s="10" t="n">
        <v>11</v>
      </c>
      <c r="D362" s="10" t="n">
        <v>3</v>
      </c>
      <c r="E362" s="9" t="inlineStr">
        <is>
          <t>Month 3</t>
        </is>
      </c>
      <c r="F362" s="9" t="inlineStr">
        <is>
          <t>RAG</t>
        </is>
      </c>
      <c r="G362" s="9" t="inlineStr">
        <is>
          <t>Concepts</t>
        </is>
      </c>
      <c r="H362" s="9" t="inlineStr">
        <is>
          <t>Embeddings</t>
        </is>
      </c>
      <c r="I362" s="9" t="inlineStr">
        <is>
          <t>Master Embeddings</t>
        </is>
      </c>
      <c r="J362" s="9" t="inlineStr">
        <is>
          <t>45 min</t>
        </is>
      </c>
      <c r="K362" s="9" t="inlineStr">
        <is>
          <t>45 min</t>
        </is>
      </c>
      <c r="L362" s="9" t="inlineStr">
        <is>
          <t>Code/Implement Embeddings</t>
        </is>
      </c>
      <c r="M362" s="9" t="inlineStr">
        <is>
          <t>15 min</t>
        </is>
      </c>
      <c r="N362" s="9" t="inlineStr">
        <is>
          <t>How does Embeddings improve the RAG pipeline?</t>
        </is>
      </c>
      <c r="O362" s="9" t="inlineStr">
        <is>
          <t>15 min</t>
        </is>
      </c>
      <c r="P362" s="9" t="inlineStr">
        <is>
          <t>Explain the role of Embeddings in Retrieval-Augmented Generation.</t>
        </is>
      </c>
      <c r="Q362" s="9" t="inlineStr">
        <is>
          <t>Build/Refine code</t>
        </is>
      </c>
      <c r="R362" s="9" t="n">
        <v>15</v>
      </c>
      <c r="S362" s="10" t="inlineStr">
        <is>
          <t>☐ Not Started</t>
        </is>
      </c>
      <c r="T362" s="10">
        <f>IF(S362="☑ Completed", "COMPLETED", "NOT STARTED")</f>
        <v/>
      </c>
      <c r="U362" s="9" t="inlineStr">
        <is>
          <t>Review Notes for Day 73</t>
        </is>
      </c>
    </row>
    <row r="363">
      <c r="A363" s="10" t="n">
        <v>73</v>
      </c>
      <c r="B363" s="10" t="inlineStr">
        <is>
          <t>2026-11-11</t>
        </is>
      </c>
      <c r="C363" s="10" t="n">
        <v>11</v>
      </c>
      <c r="D363" s="10" t="n">
        <v>3</v>
      </c>
      <c r="E363" s="9" t="inlineStr">
        <is>
          <t>Month 3</t>
        </is>
      </c>
      <c r="F363" s="9" t="inlineStr">
        <is>
          <t>RAG</t>
        </is>
      </c>
      <c r="G363" s="9" t="inlineStr">
        <is>
          <t>Concepts</t>
        </is>
      </c>
      <c r="H363" s="9" t="inlineStr">
        <is>
          <t>Vector database</t>
        </is>
      </c>
      <c r="I363" s="9" t="inlineStr">
        <is>
          <t>Master Vector database</t>
        </is>
      </c>
      <c r="J363" s="9" t="inlineStr">
        <is>
          <t>30 min</t>
        </is>
      </c>
      <c r="K363" s="9" t="inlineStr">
        <is>
          <t>30 min</t>
        </is>
      </c>
      <c r="L363" s="9" t="inlineStr">
        <is>
          <t>Code/Implement Vector database</t>
        </is>
      </c>
      <c r="M363" s="9" t="inlineStr">
        <is>
          <t>15 min</t>
        </is>
      </c>
      <c r="N363" s="9" t="inlineStr">
        <is>
          <t>How does Vector database improve the RAG pipeline?</t>
        </is>
      </c>
      <c r="O363" s="9" t="inlineStr">
        <is>
          <t>15 min</t>
        </is>
      </c>
      <c r="P363" s="9" t="inlineStr">
        <is>
          <t>Explain the role of Vector database in Retrieval-Augmented Generation.</t>
        </is>
      </c>
      <c r="Q363" s="9" t="inlineStr">
        <is>
          <t>Build/Refine code</t>
        </is>
      </c>
      <c r="R363" s="9" t="inlineStr">
        <is>
          <t>-</t>
        </is>
      </c>
      <c r="S363" s="10" t="inlineStr">
        <is>
          <t>☐ Not Started</t>
        </is>
      </c>
      <c r="T363" s="10">
        <f>IF(S363="☑ Completed", "COMPLETED", "NOT STARTED")</f>
        <v/>
      </c>
      <c r="U363" s="9" t="inlineStr">
        <is>
          <t>Review Notes for Day 73</t>
        </is>
      </c>
    </row>
    <row r="364">
      <c r="A364" s="10" t="n">
        <v>73</v>
      </c>
      <c r="B364" s="10" t="inlineStr">
        <is>
          <t>2026-11-11</t>
        </is>
      </c>
      <c r="C364" s="10" t="n">
        <v>11</v>
      </c>
      <c r="D364" s="10" t="n">
        <v>3</v>
      </c>
      <c r="E364" s="9" t="inlineStr">
        <is>
          <t>Month 3</t>
        </is>
      </c>
      <c r="F364" s="9" t="inlineStr">
        <is>
          <t>RAG</t>
        </is>
      </c>
      <c r="G364" s="9" t="inlineStr">
        <is>
          <t>Concepts</t>
        </is>
      </c>
      <c r="H364" s="9" t="inlineStr">
        <is>
          <t>Vector search</t>
        </is>
      </c>
      <c r="I364" s="9" t="inlineStr">
        <is>
          <t>Master Vector search</t>
        </is>
      </c>
      <c r="J364" s="9" t="inlineStr">
        <is>
          <t>30 min</t>
        </is>
      </c>
      <c r="K364" s="9" t="inlineStr">
        <is>
          <t>30 min</t>
        </is>
      </c>
      <c r="L364" s="9" t="inlineStr">
        <is>
          <t>Code/Implement Vector search</t>
        </is>
      </c>
      <c r="M364" s="9" t="inlineStr">
        <is>
          <t>15 min</t>
        </is>
      </c>
      <c r="N364" s="9" t="inlineStr">
        <is>
          <t>How does Vector search improve the RAG pipeline?</t>
        </is>
      </c>
      <c r="O364" s="9" t="inlineStr">
        <is>
          <t>15 min</t>
        </is>
      </c>
      <c r="P364" s="9" t="inlineStr">
        <is>
          <t>Explain the role of Vector search in Retrieval-Augmented Generation.</t>
        </is>
      </c>
      <c r="Q364" s="9" t="inlineStr">
        <is>
          <t>Build/Refine code</t>
        </is>
      </c>
      <c r="R364" s="9" t="inlineStr">
        <is>
          <t>-</t>
        </is>
      </c>
      <c r="S364" s="10" t="inlineStr">
        <is>
          <t>☐ Not Started</t>
        </is>
      </c>
      <c r="T364" s="10">
        <f>IF(S364="☑ Completed", "COMPLETED", "NOT STARTED")</f>
        <v/>
      </c>
      <c r="U364" s="9" t="inlineStr">
        <is>
          <t>Review Notes for Day 73</t>
        </is>
      </c>
    </row>
    <row r="365">
      <c r="A365" s="10" t="n">
        <v>73</v>
      </c>
      <c r="B365" s="10" t="inlineStr">
        <is>
          <t>2026-11-11</t>
        </is>
      </c>
      <c r="C365" s="10" t="n">
        <v>11</v>
      </c>
      <c r="D365" s="10" t="n">
        <v>3</v>
      </c>
      <c r="E365" s="9" t="inlineStr">
        <is>
          <t>Month 3</t>
        </is>
      </c>
      <c r="F365" s="9" t="inlineStr">
        <is>
          <t>RAG</t>
        </is>
      </c>
      <c r="G365" s="9" t="inlineStr">
        <is>
          <t>Concepts</t>
        </is>
      </c>
      <c r="H365" s="9" t="inlineStr">
        <is>
          <t>Similarity search</t>
        </is>
      </c>
      <c r="I365" s="9" t="inlineStr">
        <is>
          <t>Master Similarity search</t>
        </is>
      </c>
      <c r="J365" s="9" t="inlineStr">
        <is>
          <t>30 min</t>
        </is>
      </c>
      <c r="K365" s="9" t="inlineStr">
        <is>
          <t>30 min</t>
        </is>
      </c>
      <c r="L365" s="9" t="inlineStr">
        <is>
          <t>Code/Implement Similarity search</t>
        </is>
      </c>
      <c r="M365" s="9" t="inlineStr">
        <is>
          <t>15 min</t>
        </is>
      </c>
      <c r="N365" s="9" t="inlineStr">
        <is>
          <t>How does Similarity search improve the RAG pipeline?</t>
        </is>
      </c>
      <c r="O365" s="9" t="inlineStr">
        <is>
          <t>15 min</t>
        </is>
      </c>
      <c r="P365" s="9" t="inlineStr">
        <is>
          <t>Explain the role of Similarity search in Retrieval-Augmented Generation.</t>
        </is>
      </c>
      <c r="Q365" s="9" t="inlineStr">
        <is>
          <t>Build/Refine code</t>
        </is>
      </c>
      <c r="R365" s="9" t="inlineStr">
        <is>
          <t>-</t>
        </is>
      </c>
      <c r="S365" s="10" t="inlineStr">
        <is>
          <t>☐ Not Started</t>
        </is>
      </c>
      <c r="T365" s="10">
        <f>IF(S365="☑ Completed", "COMPLETED", "NOT STARTED")</f>
        <v/>
      </c>
      <c r="U365" s="9" t="inlineStr">
        <is>
          <t>Review Notes for Day 73</t>
        </is>
      </c>
    </row>
    <row r="366">
      <c r="A366" s="10" t="n">
        <v>73</v>
      </c>
      <c r="B366" s="10" t="inlineStr">
        <is>
          <t>2026-11-11</t>
        </is>
      </c>
      <c r="C366" s="10" t="n">
        <v>11</v>
      </c>
      <c r="D366" s="10" t="n">
        <v>3</v>
      </c>
      <c r="E366" s="9" t="inlineStr">
        <is>
          <t>Month 3</t>
        </is>
      </c>
      <c r="F366" s="9" t="inlineStr">
        <is>
          <t>RAG</t>
        </is>
      </c>
      <c r="G366" s="9" t="inlineStr">
        <is>
          <t>Concepts</t>
        </is>
      </c>
      <c r="H366" s="9" t="inlineStr">
        <is>
          <t>Retriever</t>
        </is>
      </c>
      <c r="I366" s="9" t="inlineStr">
        <is>
          <t>Master Retriever</t>
        </is>
      </c>
      <c r="J366" s="9" t="inlineStr">
        <is>
          <t>30 min</t>
        </is>
      </c>
      <c r="K366" s="9" t="inlineStr">
        <is>
          <t>30 min</t>
        </is>
      </c>
      <c r="L366" s="9" t="inlineStr">
        <is>
          <t>Code/Implement Retriever</t>
        </is>
      </c>
      <c r="M366" s="9" t="inlineStr">
        <is>
          <t>15 min</t>
        </is>
      </c>
      <c r="N366" s="9" t="inlineStr">
        <is>
          <t>How does Retriever improve the RAG pipeline?</t>
        </is>
      </c>
      <c r="O366" s="9" t="inlineStr">
        <is>
          <t>15 min</t>
        </is>
      </c>
      <c r="P366" s="9" t="inlineStr">
        <is>
          <t>Explain the role of Retriever in Retrieval-Augmented Generation.</t>
        </is>
      </c>
      <c r="Q366" s="9" t="inlineStr">
        <is>
          <t>Build/Refine code</t>
        </is>
      </c>
      <c r="R366" s="9" t="inlineStr">
        <is>
          <t>-</t>
        </is>
      </c>
      <c r="S366" s="10" t="inlineStr">
        <is>
          <t>☐ Not Started</t>
        </is>
      </c>
      <c r="T366" s="10">
        <f>IF(S366="☑ Completed", "COMPLETED", "NOT STARTED")</f>
        <v/>
      </c>
      <c r="U366" s="9" t="inlineStr">
        <is>
          <t>Review Notes for Day 73</t>
        </is>
      </c>
    </row>
    <row r="367">
      <c r="A367" s="10" t="n">
        <v>74</v>
      </c>
      <c r="B367" s="10" t="inlineStr">
        <is>
          <t>2026-11-12</t>
        </is>
      </c>
      <c r="C367" s="10" t="n">
        <v>11</v>
      </c>
      <c r="D367" s="10" t="n">
        <v>3</v>
      </c>
      <c r="E367" s="9" t="inlineStr">
        <is>
          <t>Month 3</t>
        </is>
      </c>
      <c r="F367" s="9" t="inlineStr">
        <is>
          <t>RAG</t>
        </is>
      </c>
      <c r="G367" s="9" t="inlineStr">
        <is>
          <t>Concepts</t>
        </is>
      </c>
      <c r="H367" s="9" t="inlineStr">
        <is>
          <t>Metadata</t>
        </is>
      </c>
      <c r="I367" s="9" t="inlineStr">
        <is>
          <t>Master Metadata</t>
        </is>
      </c>
      <c r="J367" s="9" t="inlineStr">
        <is>
          <t>45 min</t>
        </is>
      </c>
      <c r="K367" s="9" t="inlineStr">
        <is>
          <t>45 min</t>
        </is>
      </c>
      <c r="L367" s="9" t="inlineStr">
        <is>
          <t>Code/Implement Metadata</t>
        </is>
      </c>
      <c r="M367" s="9" t="inlineStr">
        <is>
          <t>15 min</t>
        </is>
      </c>
      <c r="N367" s="9" t="inlineStr">
        <is>
          <t>How does Metadata improve the RAG pipeline?</t>
        </is>
      </c>
      <c r="O367" s="9" t="inlineStr">
        <is>
          <t>15 min</t>
        </is>
      </c>
      <c r="P367" s="9" t="inlineStr">
        <is>
          <t>Explain the role of Metadata in Retrieval-Augmented Generation.</t>
        </is>
      </c>
      <c r="Q367" s="9" t="inlineStr">
        <is>
          <t>Build/Refine code</t>
        </is>
      </c>
      <c r="R367" s="9" t="n">
        <v>15</v>
      </c>
      <c r="S367" s="10" t="inlineStr">
        <is>
          <t>☐ Not Started</t>
        </is>
      </c>
      <c r="T367" s="10">
        <f>IF(S367="☑ Completed", "COMPLETED", "NOT STARTED")</f>
        <v/>
      </c>
      <c r="U367" s="9" t="inlineStr">
        <is>
          <t>Review Notes for Day 74</t>
        </is>
      </c>
    </row>
    <row r="368">
      <c r="A368" s="10" t="n">
        <v>74</v>
      </c>
      <c r="B368" s="10" t="inlineStr">
        <is>
          <t>2026-11-12</t>
        </is>
      </c>
      <c r="C368" s="10" t="n">
        <v>11</v>
      </c>
      <c r="D368" s="10" t="n">
        <v>3</v>
      </c>
      <c r="E368" s="9" t="inlineStr">
        <is>
          <t>Month 3</t>
        </is>
      </c>
      <c r="F368" s="9" t="inlineStr">
        <is>
          <t>RAG</t>
        </is>
      </c>
      <c r="G368" s="9" t="inlineStr">
        <is>
          <t>Concepts</t>
        </is>
      </c>
      <c r="H368" s="9" t="inlineStr">
        <is>
          <t>Context</t>
        </is>
      </c>
      <c r="I368" s="9" t="inlineStr">
        <is>
          <t>Master Context</t>
        </is>
      </c>
      <c r="J368" s="9" t="inlineStr">
        <is>
          <t>30 min</t>
        </is>
      </c>
      <c r="K368" s="9" t="inlineStr">
        <is>
          <t>30 min</t>
        </is>
      </c>
      <c r="L368" s="9" t="inlineStr">
        <is>
          <t>Code/Implement Context</t>
        </is>
      </c>
      <c r="M368" s="9" t="inlineStr">
        <is>
          <t>15 min</t>
        </is>
      </c>
      <c r="N368" s="9" t="inlineStr">
        <is>
          <t>How does Context improve the RAG pipeline?</t>
        </is>
      </c>
      <c r="O368" s="9" t="inlineStr">
        <is>
          <t>15 min</t>
        </is>
      </c>
      <c r="P368" s="9" t="inlineStr">
        <is>
          <t>Explain the role of Context in Retrieval-Augmented Generation.</t>
        </is>
      </c>
      <c r="Q368" s="9" t="inlineStr">
        <is>
          <t>Build/Refine code</t>
        </is>
      </c>
      <c r="R368" s="9" t="inlineStr">
        <is>
          <t>-</t>
        </is>
      </c>
      <c r="S368" s="10" t="inlineStr">
        <is>
          <t>☐ Not Started</t>
        </is>
      </c>
      <c r="T368" s="10">
        <f>IF(S368="☑ Completed", "COMPLETED", "NOT STARTED")</f>
        <v/>
      </c>
      <c r="U368" s="9" t="inlineStr">
        <is>
          <t>Review Notes for Day 74</t>
        </is>
      </c>
    </row>
    <row r="369">
      <c r="A369" s="10" t="n">
        <v>74</v>
      </c>
      <c r="B369" s="10" t="inlineStr">
        <is>
          <t>2026-11-12</t>
        </is>
      </c>
      <c r="C369" s="10" t="n">
        <v>11</v>
      </c>
      <c r="D369" s="10" t="n">
        <v>3</v>
      </c>
      <c r="E369" s="9" t="inlineStr">
        <is>
          <t>Month 3</t>
        </is>
      </c>
      <c r="F369" s="9" t="inlineStr">
        <is>
          <t>RAG</t>
        </is>
      </c>
      <c r="G369" s="9" t="inlineStr">
        <is>
          <t>Concepts</t>
        </is>
      </c>
      <c r="H369" s="9" t="inlineStr">
        <is>
          <t>Prompt + context</t>
        </is>
      </c>
      <c r="I369" s="9" t="inlineStr">
        <is>
          <t>Master Prompt + context</t>
        </is>
      </c>
      <c r="J369" s="9" t="inlineStr">
        <is>
          <t>30 min</t>
        </is>
      </c>
      <c r="K369" s="9" t="inlineStr">
        <is>
          <t>30 min</t>
        </is>
      </c>
      <c r="L369" s="9" t="inlineStr">
        <is>
          <t>Code/Implement Prompt + context</t>
        </is>
      </c>
      <c r="M369" s="9" t="inlineStr">
        <is>
          <t>15 min</t>
        </is>
      </c>
      <c r="N369" s="9" t="inlineStr">
        <is>
          <t>How does Prompt + context improve the RAG pipeline?</t>
        </is>
      </c>
      <c r="O369" s="9" t="inlineStr">
        <is>
          <t>15 min</t>
        </is>
      </c>
      <c r="P369" s="9" t="inlineStr">
        <is>
          <t>Explain the role of Prompt + context in Retrieval-Augmented Generation.</t>
        </is>
      </c>
      <c r="Q369" s="9" t="inlineStr">
        <is>
          <t>Build/Refine code</t>
        </is>
      </c>
      <c r="R369" s="9" t="inlineStr">
        <is>
          <t>-</t>
        </is>
      </c>
      <c r="S369" s="10" t="inlineStr">
        <is>
          <t>☐ Not Started</t>
        </is>
      </c>
      <c r="T369" s="10">
        <f>IF(S369="☑ Completed", "COMPLETED", "NOT STARTED")</f>
        <v/>
      </c>
      <c r="U369" s="9" t="inlineStr">
        <is>
          <t>Review Notes for Day 74</t>
        </is>
      </c>
    </row>
    <row r="370">
      <c r="A370" s="10" t="n">
        <v>74</v>
      </c>
      <c r="B370" s="10" t="inlineStr">
        <is>
          <t>2026-11-12</t>
        </is>
      </c>
      <c r="C370" s="10" t="n">
        <v>11</v>
      </c>
      <c r="D370" s="10" t="n">
        <v>3</v>
      </c>
      <c r="E370" s="9" t="inlineStr">
        <is>
          <t>Month 3</t>
        </is>
      </c>
      <c r="F370" s="9" t="inlineStr">
        <is>
          <t>RAG</t>
        </is>
      </c>
      <c r="G370" s="9" t="inlineStr">
        <is>
          <t>Concepts</t>
        </is>
      </c>
      <c r="H370" s="9" t="inlineStr">
        <is>
          <t>Hallucination reduction</t>
        </is>
      </c>
      <c r="I370" s="9" t="inlineStr">
        <is>
          <t>Master Hallucination reduction</t>
        </is>
      </c>
      <c r="J370" s="9" t="inlineStr">
        <is>
          <t>30 min</t>
        </is>
      </c>
      <c r="K370" s="9" t="inlineStr">
        <is>
          <t>30 min</t>
        </is>
      </c>
      <c r="L370" s="9" t="inlineStr">
        <is>
          <t>Code/Implement Hallucination reduction</t>
        </is>
      </c>
      <c r="M370" s="9" t="inlineStr">
        <is>
          <t>15 min</t>
        </is>
      </c>
      <c r="N370" s="9" t="inlineStr">
        <is>
          <t>How does Hallucination reduction improve the RAG pipeline?</t>
        </is>
      </c>
      <c r="O370" s="9" t="inlineStr">
        <is>
          <t>15 min</t>
        </is>
      </c>
      <c r="P370" s="9" t="inlineStr">
        <is>
          <t>Explain the role of Hallucination reduction in Retrieval-Augmented Generation.</t>
        </is>
      </c>
      <c r="Q370" s="9" t="inlineStr">
        <is>
          <t>Build/Refine code</t>
        </is>
      </c>
      <c r="R370" s="9" t="inlineStr">
        <is>
          <t>-</t>
        </is>
      </c>
      <c r="S370" s="10" t="inlineStr">
        <is>
          <t>☐ Not Started</t>
        </is>
      </c>
      <c r="T370" s="10">
        <f>IF(S370="☑ Completed", "COMPLETED", "NOT STARTED")</f>
        <v/>
      </c>
      <c r="U370" s="9" t="inlineStr">
        <is>
          <t>Review Notes for Day 74</t>
        </is>
      </c>
    </row>
    <row r="371">
      <c r="A371" s="10" t="n">
        <v>74</v>
      </c>
      <c r="B371" s="10" t="inlineStr">
        <is>
          <t>2026-11-12</t>
        </is>
      </c>
      <c r="C371" s="10" t="n">
        <v>11</v>
      </c>
      <c r="D371" s="10" t="n">
        <v>3</v>
      </c>
      <c r="E371" s="9" t="inlineStr">
        <is>
          <t>Month 3</t>
        </is>
      </c>
      <c r="F371" s="9" t="inlineStr">
        <is>
          <t>RAG</t>
        </is>
      </c>
      <c r="G371" s="9" t="inlineStr">
        <is>
          <t>Concepts</t>
        </is>
      </c>
      <c r="H371" s="9" t="inlineStr">
        <is>
          <t>Retrieval quality</t>
        </is>
      </c>
      <c r="I371" s="9" t="inlineStr">
        <is>
          <t>Master Retrieval quality</t>
        </is>
      </c>
      <c r="J371" s="9" t="inlineStr">
        <is>
          <t>30 min</t>
        </is>
      </c>
      <c r="K371" s="9" t="inlineStr">
        <is>
          <t>30 min</t>
        </is>
      </c>
      <c r="L371" s="9" t="inlineStr">
        <is>
          <t>Code/Implement Retrieval quality</t>
        </is>
      </c>
      <c r="M371" s="9" t="inlineStr">
        <is>
          <t>15 min</t>
        </is>
      </c>
      <c r="N371" s="9" t="inlineStr">
        <is>
          <t>How does Retrieval quality improve the RAG pipeline?</t>
        </is>
      </c>
      <c r="O371" s="9" t="inlineStr">
        <is>
          <t>15 min</t>
        </is>
      </c>
      <c r="P371" s="9" t="inlineStr">
        <is>
          <t>Explain the role of Retrieval quality in Retrieval-Augmented Generation.</t>
        </is>
      </c>
      <c r="Q371" s="9" t="inlineStr">
        <is>
          <t>Build/Refine code</t>
        </is>
      </c>
      <c r="R371" s="9" t="inlineStr">
        <is>
          <t>-</t>
        </is>
      </c>
      <c r="S371" s="10" t="inlineStr">
        <is>
          <t>☐ Not Started</t>
        </is>
      </c>
      <c r="T371" s="10">
        <f>IF(S371="☑ Completed", "COMPLETED", "NOT STARTED")</f>
        <v/>
      </c>
      <c r="U371" s="9" t="inlineStr">
        <is>
          <t>Review Notes for Day 74</t>
        </is>
      </c>
    </row>
    <row r="372">
      <c r="A372" s="10" t="n">
        <v>75</v>
      </c>
      <c r="B372" s="10" t="inlineStr">
        <is>
          <t>2026-11-13</t>
        </is>
      </c>
      <c r="C372" s="10" t="n">
        <v>11</v>
      </c>
      <c r="D372" s="10" t="n">
        <v>3</v>
      </c>
      <c r="E372" s="9" t="inlineStr">
        <is>
          <t>Month 3</t>
        </is>
      </c>
      <c r="F372" s="9" t="inlineStr">
        <is>
          <t>RAG</t>
        </is>
      </c>
      <c r="G372" s="9" t="inlineStr">
        <is>
          <t>Concepts</t>
        </is>
      </c>
      <c r="H372" s="9" t="inlineStr">
        <is>
          <t>RAG evaluation</t>
        </is>
      </c>
      <c r="I372" s="9" t="inlineStr">
        <is>
          <t>Master RAG evaluation</t>
        </is>
      </c>
      <c r="J372" s="9" t="inlineStr">
        <is>
          <t>45 min</t>
        </is>
      </c>
      <c r="K372" s="9" t="inlineStr">
        <is>
          <t>45 min</t>
        </is>
      </c>
      <c r="L372" s="9" t="inlineStr">
        <is>
          <t>Code/Implement RAG evaluation</t>
        </is>
      </c>
      <c r="M372" s="9" t="inlineStr">
        <is>
          <t>15 min</t>
        </is>
      </c>
      <c r="N372" s="9" t="inlineStr">
        <is>
          <t>How does RAG evaluation improve the RAG pipeline?</t>
        </is>
      </c>
      <c r="O372" s="9" t="inlineStr">
        <is>
          <t>15 min</t>
        </is>
      </c>
      <c r="P372" s="9" t="inlineStr">
        <is>
          <t>Explain the role of RAG evaluation in Retrieval-Augmented Generation.</t>
        </is>
      </c>
      <c r="Q372" s="9" t="inlineStr">
        <is>
          <t>Build/Refine code</t>
        </is>
      </c>
      <c r="R372" s="9" t="n">
        <v>15</v>
      </c>
      <c r="S372" s="10" t="inlineStr">
        <is>
          <t>☐ Not Started</t>
        </is>
      </c>
      <c r="T372" s="10">
        <f>IF(S372="☑ Completed", "COMPLETED", "NOT STARTED")</f>
        <v/>
      </c>
      <c r="U372" s="9" t="inlineStr">
        <is>
          <t>Review Notes for Day 75</t>
        </is>
      </c>
    </row>
    <row r="373">
      <c r="A373" s="10" t="n">
        <v>75</v>
      </c>
      <c r="B373" s="10" t="inlineStr">
        <is>
          <t>2026-11-13</t>
        </is>
      </c>
      <c r="C373" s="10" t="n">
        <v>11</v>
      </c>
      <c r="D373" s="10" t="n">
        <v>3</v>
      </c>
      <c r="E373" s="9" t="inlineStr">
        <is>
          <t>Month 3</t>
        </is>
      </c>
      <c r="F373" s="9" t="inlineStr">
        <is>
          <t>Vector DB</t>
        </is>
      </c>
      <c r="G373" s="9" t="inlineStr">
        <is>
          <t>Tools</t>
        </is>
      </c>
      <c r="H373" s="9" t="inlineStr">
        <is>
          <t>FAISS</t>
        </is>
      </c>
      <c r="I373" s="9" t="inlineStr">
        <is>
          <t>Master FAISS</t>
        </is>
      </c>
      <c r="J373" s="9" t="inlineStr">
        <is>
          <t>30 min</t>
        </is>
      </c>
      <c r="K373" s="9" t="inlineStr">
        <is>
          <t>30 min</t>
        </is>
      </c>
      <c r="L373" s="9" t="inlineStr">
        <is>
          <t>Code/Implement FAISS</t>
        </is>
      </c>
      <c r="M373" s="9" t="inlineStr">
        <is>
          <t>15 min</t>
        </is>
      </c>
      <c r="N373" s="9" t="inlineStr">
        <is>
          <t>How does FAISS scale with large datasets?</t>
        </is>
      </c>
      <c r="O373" s="9" t="inlineStr">
        <is>
          <t>15 min</t>
        </is>
      </c>
      <c r="P373" s="9" t="inlineStr">
        <is>
          <t>Compare FAISS with standard databases.</t>
        </is>
      </c>
      <c r="Q373" s="9" t="inlineStr">
        <is>
          <t>Build/Refine code</t>
        </is>
      </c>
      <c r="R373" s="9" t="inlineStr">
        <is>
          <t>-</t>
        </is>
      </c>
      <c r="S373" s="10" t="inlineStr">
        <is>
          <t>☐ Not Started</t>
        </is>
      </c>
      <c r="T373" s="10">
        <f>IF(S373="☑ Completed", "COMPLETED", "NOT STARTED")</f>
        <v/>
      </c>
      <c r="U373" s="9" t="inlineStr">
        <is>
          <t>Review Notes for Day 75</t>
        </is>
      </c>
    </row>
    <row r="374">
      <c r="A374" s="10" t="n">
        <v>75</v>
      </c>
      <c r="B374" s="10" t="inlineStr">
        <is>
          <t>2026-11-13</t>
        </is>
      </c>
      <c r="C374" s="10" t="n">
        <v>11</v>
      </c>
      <c r="D374" s="10" t="n">
        <v>3</v>
      </c>
      <c r="E374" s="9" t="inlineStr">
        <is>
          <t>Month 3</t>
        </is>
      </c>
      <c r="F374" s="9" t="inlineStr">
        <is>
          <t>Vector DB</t>
        </is>
      </c>
      <c r="G374" s="9" t="inlineStr">
        <is>
          <t>Tools</t>
        </is>
      </c>
      <c r="H374" s="9" t="inlineStr">
        <is>
          <t>Chroma</t>
        </is>
      </c>
      <c r="I374" s="9" t="inlineStr">
        <is>
          <t>Master Chroma</t>
        </is>
      </c>
      <c r="J374" s="9" t="inlineStr">
        <is>
          <t>30 min</t>
        </is>
      </c>
      <c r="K374" s="9" t="inlineStr">
        <is>
          <t>30 min</t>
        </is>
      </c>
      <c r="L374" s="9" t="inlineStr">
        <is>
          <t>Code/Implement Chroma</t>
        </is>
      </c>
      <c r="M374" s="9" t="inlineStr">
        <is>
          <t>15 min</t>
        </is>
      </c>
      <c r="N374" s="9" t="inlineStr">
        <is>
          <t>How does Chroma scale with large datasets?</t>
        </is>
      </c>
      <c r="O374" s="9" t="inlineStr">
        <is>
          <t>15 min</t>
        </is>
      </c>
      <c r="P374" s="9" t="inlineStr">
        <is>
          <t>Compare Chroma with standard databases.</t>
        </is>
      </c>
      <c r="Q374" s="9" t="inlineStr">
        <is>
          <t>Build/Refine code</t>
        </is>
      </c>
      <c r="R374" s="9" t="inlineStr">
        <is>
          <t>-</t>
        </is>
      </c>
      <c r="S374" s="10" t="inlineStr">
        <is>
          <t>☐ Not Started</t>
        </is>
      </c>
      <c r="T374" s="10">
        <f>IF(S374="☑ Completed", "COMPLETED", "NOT STARTED")</f>
        <v/>
      </c>
      <c r="U374" s="9" t="inlineStr">
        <is>
          <t>Review Notes for Day 75</t>
        </is>
      </c>
    </row>
    <row r="375">
      <c r="A375" s="10" t="n">
        <v>75</v>
      </c>
      <c r="B375" s="10" t="inlineStr">
        <is>
          <t>2026-11-13</t>
        </is>
      </c>
      <c r="C375" s="10" t="n">
        <v>11</v>
      </c>
      <c r="D375" s="10" t="n">
        <v>3</v>
      </c>
      <c r="E375" s="9" t="inlineStr">
        <is>
          <t>Month 3</t>
        </is>
      </c>
      <c r="F375" s="9" t="inlineStr">
        <is>
          <t>Vector DB</t>
        </is>
      </c>
      <c r="G375" s="9" t="inlineStr">
        <is>
          <t>Tools</t>
        </is>
      </c>
      <c r="H375" s="9" t="inlineStr">
        <is>
          <t>Pinecone concept</t>
        </is>
      </c>
      <c r="I375" s="9" t="inlineStr">
        <is>
          <t>Master Pinecone concept</t>
        </is>
      </c>
      <c r="J375" s="9" t="inlineStr">
        <is>
          <t>30 min</t>
        </is>
      </c>
      <c r="K375" s="9" t="inlineStr">
        <is>
          <t>30 min</t>
        </is>
      </c>
      <c r="L375" s="9" t="inlineStr">
        <is>
          <t>Code/Implement Pinecone concept</t>
        </is>
      </c>
      <c r="M375" s="9" t="inlineStr">
        <is>
          <t>15 min</t>
        </is>
      </c>
      <c r="N375" s="9" t="inlineStr">
        <is>
          <t>How does Pinecone concept scale with large datasets?</t>
        </is>
      </c>
      <c r="O375" s="9" t="inlineStr">
        <is>
          <t>15 min</t>
        </is>
      </c>
      <c r="P375" s="9" t="inlineStr">
        <is>
          <t>Compare Pinecone concept with standard databases.</t>
        </is>
      </c>
      <c r="Q375" s="9" t="inlineStr">
        <is>
          <t>Build/Refine code</t>
        </is>
      </c>
      <c r="R375" s="9" t="inlineStr">
        <is>
          <t>-</t>
        </is>
      </c>
      <c r="S375" s="10" t="inlineStr">
        <is>
          <t>☐ Not Started</t>
        </is>
      </c>
      <c r="T375" s="10">
        <f>IF(S375="☑ Completed", "COMPLETED", "NOT STARTED")</f>
        <v/>
      </c>
      <c r="U375" s="9" t="inlineStr">
        <is>
          <t>Review Notes for Day 75</t>
        </is>
      </c>
    </row>
    <row r="376">
      <c r="A376" s="10" t="n">
        <v>75</v>
      </c>
      <c r="B376" s="10" t="inlineStr">
        <is>
          <t>2026-11-13</t>
        </is>
      </c>
      <c r="C376" s="10" t="n">
        <v>11</v>
      </c>
      <c r="D376" s="10" t="n">
        <v>3</v>
      </c>
      <c r="E376" s="9" t="inlineStr">
        <is>
          <t>Month 3</t>
        </is>
      </c>
      <c r="F376" s="9" t="inlineStr">
        <is>
          <t>Vector DB</t>
        </is>
      </c>
      <c r="G376" s="9" t="inlineStr">
        <is>
          <t>Tools</t>
        </is>
      </c>
      <c r="H376" s="9" t="inlineStr">
        <is>
          <t>Weaviate concept</t>
        </is>
      </c>
      <c r="I376" s="9" t="inlineStr">
        <is>
          <t>Master Weaviate concept</t>
        </is>
      </c>
      <c r="J376" s="9" t="inlineStr">
        <is>
          <t>30 min</t>
        </is>
      </c>
      <c r="K376" s="9" t="inlineStr">
        <is>
          <t>30 min</t>
        </is>
      </c>
      <c r="L376" s="9" t="inlineStr">
        <is>
          <t>Code/Implement Weaviate concept</t>
        </is>
      </c>
      <c r="M376" s="9" t="inlineStr">
        <is>
          <t>15 min</t>
        </is>
      </c>
      <c r="N376" s="9" t="inlineStr">
        <is>
          <t>How does Weaviate concept scale with large datasets?</t>
        </is>
      </c>
      <c r="O376" s="9" t="inlineStr">
        <is>
          <t>15 min</t>
        </is>
      </c>
      <c r="P376" s="9" t="inlineStr">
        <is>
          <t>Compare Weaviate concept with standard databases.</t>
        </is>
      </c>
      <c r="Q376" s="9" t="inlineStr">
        <is>
          <t>Build/Refine code</t>
        </is>
      </c>
      <c r="R376" s="9" t="inlineStr">
        <is>
          <t>-</t>
        </is>
      </c>
      <c r="S376" s="10" t="inlineStr">
        <is>
          <t>☐ Not Started</t>
        </is>
      </c>
      <c r="T376" s="10">
        <f>IF(S376="☑ Completed", "COMPLETED", "NOT STARTED")</f>
        <v/>
      </c>
      <c r="U376" s="9" t="inlineStr">
        <is>
          <t>Review Notes for Day 75</t>
        </is>
      </c>
    </row>
    <row r="377">
      <c r="A377" s="10" t="n">
        <v>76</v>
      </c>
      <c r="B377" s="10" t="inlineStr">
        <is>
          <t>2026-11-14</t>
        </is>
      </c>
      <c r="C377" s="10" t="n">
        <v>11</v>
      </c>
      <c r="D377" s="10" t="n">
        <v>3</v>
      </c>
      <c r="E377" s="9" t="inlineStr">
        <is>
          <t>Month 3</t>
        </is>
      </c>
      <c r="F377" s="9" t="inlineStr">
        <is>
          <t>LangChain</t>
        </is>
      </c>
      <c r="G377" s="9" t="inlineStr">
        <is>
          <t>Framework</t>
        </is>
      </c>
      <c r="H377" s="9" t="inlineStr">
        <is>
          <t>Prompt templates</t>
        </is>
      </c>
      <c r="I377" s="9" t="inlineStr">
        <is>
          <t>Master Prompt templates</t>
        </is>
      </c>
      <c r="J377" s="9" t="inlineStr">
        <is>
          <t>45 min</t>
        </is>
      </c>
      <c r="K377" s="9" t="inlineStr">
        <is>
          <t>45 min</t>
        </is>
      </c>
      <c r="L377" s="9" t="inlineStr">
        <is>
          <t>Code/Implement Prompt templates</t>
        </is>
      </c>
      <c r="M377" s="9" t="inlineStr">
        <is>
          <t>15 min</t>
        </is>
      </c>
      <c r="N377" s="9" t="inlineStr">
        <is>
          <t>What abstraction does LangChain provide for Prompt templates?</t>
        </is>
      </c>
      <c r="O377" s="9" t="inlineStr">
        <is>
          <t>15 min</t>
        </is>
      </c>
      <c r="P377" s="9" t="inlineStr">
        <is>
          <t>Explain how you build an application using LangChain Prompt templates.</t>
        </is>
      </c>
      <c r="Q377" s="9" t="inlineStr">
        <is>
          <t>Build/Refine code</t>
        </is>
      </c>
      <c r="R377" s="9" t="n">
        <v>15</v>
      </c>
      <c r="S377" s="10" t="inlineStr">
        <is>
          <t>☐ Not Started</t>
        </is>
      </c>
      <c r="T377" s="10">
        <f>IF(S377="☑ Completed", "COMPLETED", "NOT STARTED")</f>
        <v/>
      </c>
      <c r="U377" s="9" t="inlineStr">
        <is>
          <t>Review Notes for Day 76</t>
        </is>
      </c>
    </row>
    <row r="378">
      <c r="A378" s="10" t="n">
        <v>76</v>
      </c>
      <c r="B378" s="10" t="inlineStr">
        <is>
          <t>2026-11-14</t>
        </is>
      </c>
      <c r="C378" s="10" t="n">
        <v>11</v>
      </c>
      <c r="D378" s="10" t="n">
        <v>3</v>
      </c>
      <c r="E378" s="9" t="inlineStr">
        <is>
          <t>Month 3</t>
        </is>
      </c>
      <c r="F378" s="9" t="inlineStr">
        <is>
          <t>LangChain</t>
        </is>
      </c>
      <c r="G378" s="9" t="inlineStr">
        <is>
          <t>Framework</t>
        </is>
      </c>
      <c r="H378" s="9" t="inlineStr">
        <is>
          <t>Chains</t>
        </is>
      </c>
      <c r="I378" s="9" t="inlineStr">
        <is>
          <t>Master Chains</t>
        </is>
      </c>
      <c r="J378" s="9" t="inlineStr">
        <is>
          <t>30 min</t>
        </is>
      </c>
      <c r="K378" s="9" t="inlineStr">
        <is>
          <t>30 min</t>
        </is>
      </c>
      <c r="L378" s="9" t="inlineStr">
        <is>
          <t>Code/Implement Chains</t>
        </is>
      </c>
      <c r="M378" s="9" t="inlineStr">
        <is>
          <t>15 min</t>
        </is>
      </c>
      <c r="N378" s="9" t="inlineStr">
        <is>
          <t>What abstraction does LangChain provide for Chains?</t>
        </is>
      </c>
      <c r="O378" s="9" t="inlineStr">
        <is>
          <t>15 min</t>
        </is>
      </c>
      <c r="P378" s="9" t="inlineStr">
        <is>
          <t>Explain how you build an application using LangChain Chains.</t>
        </is>
      </c>
      <c r="Q378" s="9" t="inlineStr">
        <is>
          <t>Build/Refine code</t>
        </is>
      </c>
      <c r="R378" s="9" t="inlineStr">
        <is>
          <t>-</t>
        </is>
      </c>
      <c r="S378" s="10" t="inlineStr">
        <is>
          <t>☐ Not Started</t>
        </is>
      </c>
      <c r="T378" s="10">
        <f>IF(S378="☑ Completed", "COMPLETED", "NOT STARTED")</f>
        <v/>
      </c>
      <c r="U378" s="9" t="inlineStr">
        <is>
          <t>Review Notes for Day 76</t>
        </is>
      </c>
    </row>
    <row r="379">
      <c r="A379" s="10" t="n">
        <v>76</v>
      </c>
      <c r="B379" s="10" t="inlineStr">
        <is>
          <t>2026-11-14</t>
        </is>
      </c>
      <c r="C379" s="10" t="n">
        <v>11</v>
      </c>
      <c r="D379" s="10" t="n">
        <v>3</v>
      </c>
      <c r="E379" s="9" t="inlineStr">
        <is>
          <t>Month 3</t>
        </is>
      </c>
      <c r="F379" s="9" t="inlineStr">
        <is>
          <t>LangChain</t>
        </is>
      </c>
      <c r="G379" s="9" t="inlineStr">
        <is>
          <t>Framework</t>
        </is>
      </c>
      <c r="H379" s="9" t="inlineStr">
        <is>
          <t>Retrievers</t>
        </is>
      </c>
      <c r="I379" s="9" t="inlineStr">
        <is>
          <t>Master Retrievers</t>
        </is>
      </c>
      <c r="J379" s="9" t="inlineStr">
        <is>
          <t>30 min</t>
        </is>
      </c>
      <c r="K379" s="9" t="inlineStr">
        <is>
          <t>30 min</t>
        </is>
      </c>
      <c r="L379" s="9" t="inlineStr">
        <is>
          <t>Code/Implement Retrievers</t>
        </is>
      </c>
      <c r="M379" s="9" t="inlineStr">
        <is>
          <t>15 min</t>
        </is>
      </c>
      <c r="N379" s="9" t="inlineStr">
        <is>
          <t>What abstraction does LangChain provide for Retrievers?</t>
        </is>
      </c>
      <c r="O379" s="9" t="inlineStr">
        <is>
          <t>15 min</t>
        </is>
      </c>
      <c r="P379" s="9" t="inlineStr">
        <is>
          <t>Explain how you build an application using LangChain Retrievers.</t>
        </is>
      </c>
      <c r="Q379" s="9" t="inlineStr">
        <is>
          <t>Build/Refine code</t>
        </is>
      </c>
      <c r="R379" s="9" t="inlineStr">
        <is>
          <t>-</t>
        </is>
      </c>
      <c r="S379" s="10" t="inlineStr">
        <is>
          <t>☐ Not Started</t>
        </is>
      </c>
      <c r="T379" s="10">
        <f>IF(S379="☑ Completed", "COMPLETED", "NOT STARTED")</f>
        <v/>
      </c>
      <c r="U379" s="9" t="inlineStr">
        <is>
          <t>Review Notes for Day 76</t>
        </is>
      </c>
    </row>
    <row r="380">
      <c r="A380" s="10" t="n">
        <v>76</v>
      </c>
      <c r="B380" s="10" t="inlineStr">
        <is>
          <t>2026-11-14</t>
        </is>
      </c>
      <c r="C380" s="10" t="n">
        <v>11</v>
      </c>
      <c r="D380" s="10" t="n">
        <v>3</v>
      </c>
      <c r="E380" s="9" t="inlineStr">
        <is>
          <t>Month 3</t>
        </is>
      </c>
      <c r="F380" s="9" t="inlineStr">
        <is>
          <t>LangChain</t>
        </is>
      </c>
      <c r="G380" s="9" t="inlineStr">
        <is>
          <t>Framework</t>
        </is>
      </c>
      <c r="H380" s="9" t="inlineStr">
        <is>
          <t>Document loaders</t>
        </is>
      </c>
      <c r="I380" s="9" t="inlineStr">
        <is>
          <t>Master Document loaders</t>
        </is>
      </c>
      <c r="J380" s="9" t="inlineStr">
        <is>
          <t>30 min</t>
        </is>
      </c>
      <c r="K380" s="9" t="inlineStr">
        <is>
          <t>30 min</t>
        </is>
      </c>
      <c r="L380" s="9" t="inlineStr">
        <is>
          <t>Code/Implement Document loaders</t>
        </is>
      </c>
      <c r="M380" s="9" t="inlineStr">
        <is>
          <t>15 min</t>
        </is>
      </c>
      <c r="N380" s="9" t="inlineStr">
        <is>
          <t>What abstraction does LangChain provide for Document loaders?</t>
        </is>
      </c>
      <c r="O380" s="9" t="inlineStr">
        <is>
          <t>15 min</t>
        </is>
      </c>
      <c r="P380" s="9" t="inlineStr">
        <is>
          <t>Explain how you build an application using LangChain Document loaders.</t>
        </is>
      </c>
      <c r="Q380" s="9" t="inlineStr">
        <is>
          <t>Build/Refine code</t>
        </is>
      </c>
      <c r="R380" s="9" t="inlineStr">
        <is>
          <t>-</t>
        </is>
      </c>
      <c r="S380" s="10" t="inlineStr">
        <is>
          <t>☐ Not Started</t>
        </is>
      </c>
      <c r="T380" s="10">
        <f>IF(S380="☑ Completed", "COMPLETED", "NOT STARTED")</f>
        <v/>
      </c>
      <c r="U380" s="9" t="inlineStr">
        <is>
          <t>Review Notes for Day 76</t>
        </is>
      </c>
    </row>
    <row r="381">
      <c r="A381" s="10" t="n">
        <v>76</v>
      </c>
      <c r="B381" s="10" t="inlineStr">
        <is>
          <t>2026-11-14</t>
        </is>
      </c>
      <c r="C381" s="10" t="n">
        <v>11</v>
      </c>
      <c r="D381" s="10" t="n">
        <v>3</v>
      </c>
      <c r="E381" s="9" t="inlineStr">
        <is>
          <t>Month 3</t>
        </is>
      </c>
      <c r="F381" s="9" t="inlineStr">
        <is>
          <t>LangChain</t>
        </is>
      </c>
      <c r="G381" s="9" t="inlineStr">
        <is>
          <t>Framework</t>
        </is>
      </c>
      <c r="H381" s="9" t="inlineStr">
        <is>
          <t>Embeddings</t>
        </is>
      </c>
      <c r="I381" s="9" t="inlineStr">
        <is>
          <t>Master Embeddings</t>
        </is>
      </c>
      <c r="J381" s="9" t="inlineStr">
        <is>
          <t>30 min</t>
        </is>
      </c>
      <c r="K381" s="9" t="inlineStr">
        <is>
          <t>30 min</t>
        </is>
      </c>
      <c r="L381" s="9" t="inlineStr">
        <is>
          <t>Code/Implement Embeddings</t>
        </is>
      </c>
      <c r="M381" s="9" t="inlineStr">
        <is>
          <t>15 min</t>
        </is>
      </c>
      <c r="N381" s="9" t="inlineStr">
        <is>
          <t>What abstraction does LangChain provide for Embeddings?</t>
        </is>
      </c>
      <c r="O381" s="9" t="inlineStr">
        <is>
          <t>15 min</t>
        </is>
      </c>
      <c r="P381" s="9" t="inlineStr">
        <is>
          <t>Explain how you build an application using LangChain Embeddings.</t>
        </is>
      </c>
      <c r="Q381" s="9" t="inlineStr">
        <is>
          <t>Build/Refine code</t>
        </is>
      </c>
      <c r="R381" s="9" t="inlineStr">
        <is>
          <t>-</t>
        </is>
      </c>
      <c r="S381" s="10" t="inlineStr">
        <is>
          <t>☐ Not Started</t>
        </is>
      </c>
      <c r="T381" s="10">
        <f>IF(S381="☑ Completed", "COMPLETED", "NOT STARTED")</f>
        <v/>
      </c>
      <c r="U381" s="9" t="inlineStr">
        <is>
          <t>Review Notes for Day 76</t>
        </is>
      </c>
    </row>
    <row r="382">
      <c r="A382" s="10" t="n">
        <v>77</v>
      </c>
      <c r="B382" s="10" t="inlineStr">
        <is>
          <t>2026-11-15</t>
        </is>
      </c>
      <c r="C382" s="10" t="n">
        <v>11</v>
      </c>
      <c r="D382" s="10" t="n">
        <v>3</v>
      </c>
      <c r="E382" s="9" t="inlineStr">
        <is>
          <t>Month 3</t>
        </is>
      </c>
      <c r="F382" s="9" t="inlineStr">
        <is>
          <t>LangChain</t>
        </is>
      </c>
      <c r="G382" s="9" t="inlineStr">
        <is>
          <t>Framework</t>
        </is>
      </c>
      <c r="H382" s="9" t="inlineStr">
        <is>
          <t>Vector stores</t>
        </is>
      </c>
      <c r="I382" s="9" t="inlineStr">
        <is>
          <t>Master Vector stores</t>
        </is>
      </c>
      <c r="J382" s="9" t="inlineStr">
        <is>
          <t>45 min</t>
        </is>
      </c>
      <c r="K382" s="9" t="inlineStr">
        <is>
          <t>45 min</t>
        </is>
      </c>
      <c r="L382" s="9" t="inlineStr">
        <is>
          <t>Code/Implement Vector stores</t>
        </is>
      </c>
      <c r="M382" s="9" t="inlineStr">
        <is>
          <t>15 min</t>
        </is>
      </c>
      <c r="N382" s="9" t="inlineStr">
        <is>
          <t>What abstraction does LangChain provide for Vector stores?</t>
        </is>
      </c>
      <c r="O382" s="9" t="inlineStr">
        <is>
          <t>15 min</t>
        </is>
      </c>
      <c r="P382" s="9" t="inlineStr">
        <is>
          <t>Explain how you build an application using LangChain Vector stores.</t>
        </is>
      </c>
      <c r="Q382" s="9" t="inlineStr">
        <is>
          <t>Build/Refine code</t>
        </is>
      </c>
      <c r="R382" s="9" t="n">
        <v>15</v>
      </c>
      <c r="S382" s="10" t="inlineStr">
        <is>
          <t>☐ Not Started</t>
        </is>
      </c>
      <c r="T382" s="10">
        <f>IF(S382="☑ Completed", "COMPLETED", "NOT STARTED")</f>
        <v/>
      </c>
      <c r="U382" s="9" t="inlineStr">
        <is>
          <t>Review Notes for Day 77</t>
        </is>
      </c>
    </row>
    <row r="383">
      <c r="A383" s="10" t="n">
        <v>77</v>
      </c>
      <c r="B383" s="10" t="inlineStr">
        <is>
          <t>2026-11-15</t>
        </is>
      </c>
      <c r="C383" s="10" t="n">
        <v>11</v>
      </c>
      <c r="D383" s="10" t="n">
        <v>3</v>
      </c>
      <c r="E383" s="9" t="inlineStr">
        <is>
          <t>Month 3</t>
        </is>
      </c>
      <c r="F383" s="9" t="inlineStr">
        <is>
          <t>LangChain</t>
        </is>
      </c>
      <c r="G383" s="9" t="inlineStr">
        <is>
          <t>Framework</t>
        </is>
      </c>
      <c r="H383" s="9" t="inlineStr">
        <is>
          <t>Agents</t>
        </is>
      </c>
      <c r="I383" s="9" t="inlineStr">
        <is>
          <t>Master Agents</t>
        </is>
      </c>
      <c r="J383" s="9" t="inlineStr">
        <is>
          <t>30 min</t>
        </is>
      </c>
      <c r="K383" s="9" t="inlineStr">
        <is>
          <t>30 min</t>
        </is>
      </c>
      <c r="L383" s="9" t="inlineStr">
        <is>
          <t>Code/Implement Agents</t>
        </is>
      </c>
      <c r="M383" s="9" t="inlineStr">
        <is>
          <t>15 min</t>
        </is>
      </c>
      <c r="N383" s="9" t="inlineStr">
        <is>
          <t>What abstraction does LangChain provide for Agents?</t>
        </is>
      </c>
      <c r="O383" s="9" t="inlineStr">
        <is>
          <t>15 min</t>
        </is>
      </c>
      <c r="P383" s="9" t="inlineStr">
        <is>
          <t>Explain how you build an application using LangChain Agents.</t>
        </is>
      </c>
      <c r="Q383" s="9" t="inlineStr">
        <is>
          <t>Build/Refine code</t>
        </is>
      </c>
      <c r="R383" s="9" t="inlineStr">
        <is>
          <t>-</t>
        </is>
      </c>
      <c r="S383" s="10" t="inlineStr">
        <is>
          <t>☐ Not Started</t>
        </is>
      </c>
      <c r="T383" s="10">
        <f>IF(S383="☑ Completed", "COMPLETED", "NOT STARTED")</f>
        <v/>
      </c>
      <c r="U383" s="9" t="inlineStr">
        <is>
          <t>Review Notes for Day 77</t>
        </is>
      </c>
    </row>
    <row r="384">
      <c r="A384" s="10" t="n">
        <v>77</v>
      </c>
      <c r="B384" s="10" t="inlineStr">
        <is>
          <t>2026-11-15</t>
        </is>
      </c>
      <c r="C384" s="10" t="n">
        <v>11</v>
      </c>
      <c r="D384" s="10" t="n">
        <v>3</v>
      </c>
      <c r="E384" s="9" t="inlineStr">
        <is>
          <t>Month 3</t>
        </is>
      </c>
      <c r="F384" s="9" t="inlineStr">
        <is>
          <t>LangGraph</t>
        </is>
      </c>
      <c r="G384" s="9" t="inlineStr">
        <is>
          <t>Agents</t>
        </is>
      </c>
      <c r="H384" s="9" t="inlineStr">
        <is>
          <t>State</t>
        </is>
      </c>
      <c r="I384" s="9" t="inlineStr">
        <is>
          <t>Master State</t>
        </is>
      </c>
      <c r="J384" s="9" t="inlineStr">
        <is>
          <t>30 min</t>
        </is>
      </c>
      <c r="K384" s="9" t="inlineStr">
        <is>
          <t>30 min</t>
        </is>
      </c>
      <c r="L384" s="9" t="inlineStr">
        <is>
          <t>Code/Implement State</t>
        </is>
      </c>
      <c r="M384" s="9" t="inlineStr">
        <is>
          <t>15 min</t>
        </is>
      </c>
      <c r="N384" s="9" t="inlineStr">
        <is>
          <t>How does LangGraph handle State?</t>
        </is>
      </c>
      <c r="O384" s="9" t="inlineStr">
        <is>
          <t>15 min</t>
        </is>
      </c>
      <c r="P384" s="9" t="inlineStr">
        <is>
          <t>Describe the flow of State in an agentic system.</t>
        </is>
      </c>
      <c r="Q384" s="9" t="inlineStr">
        <is>
          <t>Build/Refine code</t>
        </is>
      </c>
      <c r="R384" s="9" t="inlineStr">
        <is>
          <t>-</t>
        </is>
      </c>
      <c r="S384" s="10" t="inlineStr">
        <is>
          <t>☐ Not Started</t>
        </is>
      </c>
      <c r="T384" s="10">
        <f>IF(S384="☑ Completed", "COMPLETED", "NOT STARTED")</f>
        <v/>
      </c>
      <c r="U384" s="9" t="inlineStr">
        <is>
          <t>Review Notes for Day 77</t>
        </is>
      </c>
    </row>
    <row r="385">
      <c r="A385" s="10" t="n">
        <v>77</v>
      </c>
      <c r="B385" s="10" t="inlineStr">
        <is>
          <t>2026-11-15</t>
        </is>
      </c>
      <c r="C385" s="10" t="n">
        <v>11</v>
      </c>
      <c r="D385" s="10" t="n">
        <v>3</v>
      </c>
      <c r="E385" s="9" t="inlineStr">
        <is>
          <t>Month 3</t>
        </is>
      </c>
      <c r="F385" s="9" t="inlineStr">
        <is>
          <t>LangGraph</t>
        </is>
      </c>
      <c r="G385" s="9" t="inlineStr">
        <is>
          <t>Agents</t>
        </is>
      </c>
      <c r="H385" s="9" t="inlineStr">
        <is>
          <t>Nodes</t>
        </is>
      </c>
      <c r="I385" s="9" t="inlineStr">
        <is>
          <t>Master Nodes</t>
        </is>
      </c>
      <c r="J385" s="9" t="inlineStr">
        <is>
          <t>30 min</t>
        </is>
      </c>
      <c r="K385" s="9" t="inlineStr">
        <is>
          <t>30 min</t>
        </is>
      </c>
      <c r="L385" s="9" t="inlineStr">
        <is>
          <t>Code/Implement Nodes</t>
        </is>
      </c>
      <c r="M385" s="9" t="inlineStr">
        <is>
          <t>15 min</t>
        </is>
      </c>
      <c r="N385" s="9" t="inlineStr">
        <is>
          <t>How does LangGraph handle Nodes?</t>
        </is>
      </c>
      <c r="O385" s="9" t="inlineStr">
        <is>
          <t>15 min</t>
        </is>
      </c>
      <c r="P385" s="9" t="inlineStr">
        <is>
          <t>Describe the flow of Nodes in an agentic system.</t>
        </is>
      </c>
      <c r="Q385" s="9" t="inlineStr">
        <is>
          <t>Build/Refine code</t>
        </is>
      </c>
      <c r="R385" s="9" t="inlineStr">
        <is>
          <t>-</t>
        </is>
      </c>
      <c r="S385" s="10" t="inlineStr">
        <is>
          <t>☐ Not Started</t>
        </is>
      </c>
      <c r="T385" s="10">
        <f>IF(S385="☑ Completed", "COMPLETED", "NOT STARTED")</f>
        <v/>
      </c>
      <c r="U385" s="9" t="inlineStr">
        <is>
          <t>Review Notes for Day 77</t>
        </is>
      </c>
    </row>
    <row r="386">
      <c r="A386" s="10" t="n">
        <v>77</v>
      </c>
      <c r="B386" s="10" t="inlineStr">
        <is>
          <t>2026-11-15</t>
        </is>
      </c>
      <c r="C386" s="10" t="n">
        <v>11</v>
      </c>
      <c r="D386" s="10" t="n">
        <v>3</v>
      </c>
      <c r="E386" s="9" t="inlineStr">
        <is>
          <t>Month 3</t>
        </is>
      </c>
      <c r="F386" s="9" t="inlineStr">
        <is>
          <t>LangGraph</t>
        </is>
      </c>
      <c r="G386" s="9" t="inlineStr">
        <is>
          <t>Agents</t>
        </is>
      </c>
      <c r="H386" s="9" t="inlineStr">
        <is>
          <t>Edges</t>
        </is>
      </c>
      <c r="I386" s="9" t="inlineStr">
        <is>
          <t>Master Edges</t>
        </is>
      </c>
      <c r="J386" s="9" t="inlineStr">
        <is>
          <t>30 min</t>
        </is>
      </c>
      <c r="K386" s="9" t="inlineStr">
        <is>
          <t>30 min</t>
        </is>
      </c>
      <c r="L386" s="9" t="inlineStr">
        <is>
          <t>Code/Implement Edges</t>
        </is>
      </c>
      <c r="M386" s="9" t="inlineStr">
        <is>
          <t>15 min</t>
        </is>
      </c>
      <c r="N386" s="9" t="inlineStr">
        <is>
          <t>How does LangGraph handle Edges?</t>
        </is>
      </c>
      <c r="O386" s="9" t="inlineStr">
        <is>
          <t>15 min</t>
        </is>
      </c>
      <c r="P386" s="9" t="inlineStr">
        <is>
          <t>Describe the flow of Edges in an agentic system.</t>
        </is>
      </c>
      <c r="Q386" s="9" t="inlineStr">
        <is>
          <t>Build/Refine code</t>
        </is>
      </c>
      <c r="R386" s="9" t="inlineStr">
        <is>
          <t>-</t>
        </is>
      </c>
      <c r="S386" s="10" t="inlineStr">
        <is>
          <t>☐ Not Started</t>
        </is>
      </c>
      <c r="T386" s="10">
        <f>IF(S386="☑ Completed", "COMPLETED", "NOT STARTED")</f>
        <v/>
      </c>
      <c r="U386" s="9" t="inlineStr">
        <is>
          <t>Review Notes for Day 77</t>
        </is>
      </c>
    </row>
    <row r="387">
      <c r="A387" s="10" t="n">
        <v>78</v>
      </c>
      <c r="B387" s="10" t="inlineStr">
        <is>
          <t>2026-11-16</t>
        </is>
      </c>
      <c r="C387" s="10" t="n">
        <v>12</v>
      </c>
      <c r="D387" s="10" t="n">
        <v>3</v>
      </c>
      <c r="E387" s="9" t="inlineStr">
        <is>
          <t>Month 3</t>
        </is>
      </c>
      <c r="F387" s="9" t="inlineStr">
        <is>
          <t>LangGraph</t>
        </is>
      </c>
      <c r="G387" s="9" t="inlineStr">
        <is>
          <t>Agents</t>
        </is>
      </c>
      <c r="H387" s="9" t="inlineStr">
        <is>
          <t>Conditional edges</t>
        </is>
      </c>
      <c r="I387" s="9" t="inlineStr">
        <is>
          <t>Master Conditional edges</t>
        </is>
      </c>
      <c r="J387" s="9" t="inlineStr">
        <is>
          <t>45 min</t>
        </is>
      </c>
      <c r="K387" s="9" t="inlineStr">
        <is>
          <t>45 min</t>
        </is>
      </c>
      <c r="L387" s="9" t="inlineStr">
        <is>
          <t>Code/Implement Conditional edges</t>
        </is>
      </c>
      <c r="M387" s="9" t="inlineStr">
        <is>
          <t>15 min</t>
        </is>
      </c>
      <c r="N387" s="9" t="inlineStr">
        <is>
          <t>How does LangGraph handle Conditional edges?</t>
        </is>
      </c>
      <c r="O387" s="9" t="inlineStr">
        <is>
          <t>15 min</t>
        </is>
      </c>
      <c r="P387" s="9" t="inlineStr">
        <is>
          <t>Describe the flow of Conditional edges in an agentic system.</t>
        </is>
      </c>
      <c r="Q387" s="9" t="inlineStr">
        <is>
          <t>Build/Refine code</t>
        </is>
      </c>
      <c r="R387" s="9" t="n">
        <v>15</v>
      </c>
      <c r="S387" s="10" t="inlineStr">
        <is>
          <t>☐ Not Started</t>
        </is>
      </c>
      <c r="T387" s="10">
        <f>IF(S387="☑ Completed", "COMPLETED", "NOT STARTED")</f>
        <v/>
      </c>
      <c r="U387" s="9" t="inlineStr">
        <is>
          <t>Review Notes for Day 78</t>
        </is>
      </c>
    </row>
    <row r="388">
      <c r="A388" s="10" t="n">
        <v>78</v>
      </c>
      <c r="B388" s="10" t="inlineStr">
        <is>
          <t>2026-11-16</t>
        </is>
      </c>
      <c r="C388" s="10" t="n">
        <v>12</v>
      </c>
      <c r="D388" s="10" t="n">
        <v>3</v>
      </c>
      <c r="E388" s="9" t="inlineStr">
        <is>
          <t>Month 3</t>
        </is>
      </c>
      <c r="F388" s="9" t="inlineStr">
        <is>
          <t>LangGraph</t>
        </is>
      </c>
      <c r="G388" s="9" t="inlineStr">
        <is>
          <t>Agents</t>
        </is>
      </c>
      <c r="H388" s="9" t="inlineStr">
        <is>
          <t>Workflows</t>
        </is>
      </c>
      <c r="I388" s="9" t="inlineStr">
        <is>
          <t>Master Workflows</t>
        </is>
      </c>
      <c r="J388" s="9" t="inlineStr">
        <is>
          <t>30 min</t>
        </is>
      </c>
      <c r="K388" s="9" t="inlineStr">
        <is>
          <t>30 min</t>
        </is>
      </c>
      <c r="L388" s="9" t="inlineStr">
        <is>
          <t>Code/Implement Workflows</t>
        </is>
      </c>
      <c r="M388" s="9" t="inlineStr">
        <is>
          <t>15 min</t>
        </is>
      </c>
      <c r="N388" s="9" t="inlineStr">
        <is>
          <t>How does LangGraph handle Workflows?</t>
        </is>
      </c>
      <c r="O388" s="9" t="inlineStr">
        <is>
          <t>15 min</t>
        </is>
      </c>
      <c r="P388" s="9" t="inlineStr">
        <is>
          <t>Describe the flow of Workflows in an agentic system.</t>
        </is>
      </c>
      <c r="Q388" s="9" t="inlineStr">
        <is>
          <t>Build/Refine code</t>
        </is>
      </c>
      <c r="R388" s="9" t="inlineStr">
        <is>
          <t>-</t>
        </is>
      </c>
      <c r="S388" s="10" t="inlineStr">
        <is>
          <t>☐ Not Started</t>
        </is>
      </c>
      <c r="T388" s="10">
        <f>IF(S388="☑ Completed", "COMPLETED", "NOT STARTED")</f>
        <v/>
      </c>
      <c r="U388" s="9" t="inlineStr">
        <is>
          <t>Review Notes for Day 78</t>
        </is>
      </c>
    </row>
    <row r="389">
      <c r="A389" s="10" t="n">
        <v>78</v>
      </c>
      <c r="B389" s="10" t="inlineStr">
        <is>
          <t>2026-11-16</t>
        </is>
      </c>
      <c r="C389" s="10" t="n">
        <v>12</v>
      </c>
      <c r="D389" s="10" t="n">
        <v>3</v>
      </c>
      <c r="E389" s="9" t="inlineStr">
        <is>
          <t>Month 3</t>
        </is>
      </c>
      <c r="F389" s="9" t="inlineStr">
        <is>
          <t>LangGraph</t>
        </is>
      </c>
      <c r="G389" s="9" t="inlineStr">
        <is>
          <t>Agents</t>
        </is>
      </c>
      <c r="H389" s="9" t="inlineStr">
        <is>
          <t>Agentic workflow</t>
        </is>
      </c>
      <c r="I389" s="9" t="inlineStr">
        <is>
          <t>Master Agentic workflow</t>
        </is>
      </c>
      <c r="J389" s="9" t="inlineStr">
        <is>
          <t>30 min</t>
        </is>
      </c>
      <c r="K389" s="9" t="inlineStr">
        <is>
          <t>30 min</t>
        </is>
      </c>
      <c r="L389" s="9" t="inlineStr">
        <is>
          <t>Code/Implement Agentic workflow</t>
        </is>
      </c>
      <c r="M389" s="9" t="inlineStr">
        <is>
          <t>15 min</t>
        </is>
      </c>
      <c r="N389" s="9" t="inlineStr">
        <is>
          <t>How does LangGraph handle Agentic workflow?</t>
        </is>
      </c>
      <c r="O389" s="9" t="inlineStr">
        <is>
          <t>15 min</t>
        </is>
      </c>
      <c r="P389" s="9" t="inlineStr">
        <is>
          <t>Describe the flow of Agentic workflow in an agentic system.</t>
        </is>
      </c>
      <c r="Q389" s="9" t="inlineStr">
        <is>
          <t>Build/Refine code</t>
        </is>
      </c>
      <c r="R389" s="9" t="inlineStr">
        <is>
          <t>-</t>
        </is>
      </c>
      <c r="S389" s="10" t="inlineStr">
        <is>
          <t>☐ Not Started</t>
        </is>
      </c>
      <c r="T389" s="10">
        <f>IF(S389="☑ Completed", "COMPLETED", "NOT STARTED")</f>
        <v/>
      </c>
      <c r="U389" s="9" t="inlineStr">
        <is>
          <t>Review Notes for Day 78</t>
        </is>
      </c>
    </row>
    <row r="390">
      <c r="A390" s="10" t="n">
        <v>78</v>
      </c>
      <c r="B390" s="10" t="inlineStr">
        <is>
          <t>2026-11-16</t>
        </is>
      </c>
      <c r="C390" s="10" t="n">
        <v>12</v>
      </c>
      <c r="D390" s="10" t="n">
        <v>3</v>
      </c>
      <c r="E390" s="9" t="inlineStr">
        <is>
          <t>Month 3</t>
        </is>
      </c>
      <c r="F390" s="9" t="inlineStr">
        <is>
          <t>Project</t>
        </is>
      </c>
      <c r="G390" s="9" t="inlineStr">
        <is>
          <t>RAG Document Q&amp;A</t>
        </is>
      </c>
      <c r="H390" s="9" t="inlineStr">
        <is>
          <t>Architecture</t>
        </is>
      </c>
      <c r="I390" s="9" t="inlineStr">
        <is>
          <t>Master Architecture</t>
        </is>
      </c>
      <c r="J390" s="9" t="inlineStr">
        <is>
          <t>30 min</t>
        </is>
      </c>
      <c r="K390" s="9" t="inlineStr">
        <is>
          <t>30 min</t>
        </is>
      </c>
      <c r="L390" s="9" t="inlineStr">
        <is>
          <t>Code/Implement Architecture</t>
        </is>
      </c>
      <c r="M390" s="9" t="inlineStr">
        <is>
          <t>15 min</t>
        </is>
      </c>
      <c r="N390" s="9" t="inlineStr">
        <is>
          <t>How did you implement Architecture in your RAG project?</t>
        </is>
      </c>
      <c r="O390" s="9" t="inlineStr">
        <is>
          <t>15 min</t>
        </is>
      </c>
      <c r="P390" s="9" t="inlineStr">
        <is>
          <t>Present a demo/explanation of the Architecture feature.</t>
        </is>
      </c>
      <c r="Q390" s="9" t="inlineStr">
        <is>
          <t>Build/Refine code</t>
        </is>
      </c>
      <c r="R390" s="9" t="inlineStr">
        <is>
          <t>-</t>
        </is>
      </c>
      <c r="S390" s="10" t="inlineStr">
        <is>
          <t>☐ Not Started</t>
        </is>
      </c>
      <c r="T390" s="10">
        <f>IF(S390="☑ Completed", "COMPLETED", "NOT STARTED")</f>
        <v/>
      </c>
      <c r="U390" s="9" t="inlineStr">
        <is>
          <t>Review Notes for Day 78</t>
        </is>
      </c>
    </row>
    <row r="391">
      <c r="A391" s="10" t="n">
        <v>78</v>
      </c>
      <c r="B391" s="10" t="inlineStr">
        <is>
          <t>2026-11-16</t>
        </is>
      </c>
      <c r="C391" s="10" t="n">
        <v>12</v>
      </c>
      <c r="D391" s="10" t="n">
        <v>3</v>
      </c>
      <c r="E391" s="9" t="inlineStr">
        <is>
          <t>Month 3</t>
        </is>
      </c>
      <c r="F391" s="9" t="inlineStr">
        <is>
          <t>Project</t>
        </is>
      </c>
      <c r="G391" s="9" t="inlineStr">
        <is>
          <t>RAG Document Q&amp;A</t>
        </is>
      </c>
      <c r="H391" s="9" t="inlineStr">
        <is>
          <t>Environment setup</t>
        </is>
      </c>
      <c r="I391" s="9" t="inlineStr">
        <is>
          <t>Master Environment setup</t>
        </is>
      </c>
      <c r="J391" s="9" t="inlineStr">
        <is>
          <t>30 min</t>
        </is>
      </c>
      <c r="K391" s="9" t="inlineStr">
        <is>
          <t>30 min</t>
        </is>
      </c>
      <c r="L391" s="9" t="inlineStr">
        <is>
          <t>Code/Implement Environment setup</t>
        </is>
      </c>
      <c r="M391" s="9" t="inlineStr">
        <is>
          <t>15 min</t>
        </is>
      </c>
      <c r="N391" s="9" t="inlineStr">
        <is>
          <t>How did you implement Environment setup in your RAG project?</t>
        </is>
      </c>
      <c r="O391" s="9" t="inlineStr">
        <is>
          <t>15 min</t>
        </is>
      </c>
      <c r="P391" s="9" t="inlineStr">
        <is>
          <t>Present a demo/explanation of the Environment setup feature.</t>
        </is>
      </c>
      <c r="Q391" s="9" t="inlineStr">
        <is>
          <t>Build/Refine code</t>
        </is>
      </c>
      <c r="R391" s="9" t="inlineStr">
        <is>
          <t>-</t>
        </is>
      </c>
      <c r="S391" s="10" t="inlineStr">
        <is>
          <t>☐ Not Started</t>
        </is>
      </c>
      <c r="T391" s="10">
        <f>IF(S391="☑ Completed", "COMPLETED", "NOT STARTED")</f>
        <v/>
      </c>
      <c r="U391" s="9" t="inlineStr">
        <is>
          <t>Review Notes for Day 78</t>
        </is>
      </c>
    </row>
    <row r="392">
      <c r="A392" s="10" t="n">
        <v>79</v>
      </c>
      <c r="B392" s="10" t="inlineStr">
        <is>
          <t>2026-11-17</t>
        </is>
      </c>
      <c r="C392" s="10" t="n">
        <v>12</v>
      </c>
      <c r="D392" s="10" t="n">
        <v>3</v>
      </c>
      <c r="E392" s="9" t="inlineStr">
        <is>
          <t>Month 3</t>
        </is>
      </c>
      <c r="F392" s="9" t="inlineStr">
        <is>
          <t>Project</t>
        </is>
      </c>
      <c r="G392" s="9" t="inlineStr">
        <is>
          <t>RAG Document Q&amp;A</t>
        </is>
      </c>
      <c r="H392" s="9" t="inlineStr">
        <is>
          <t>Dependencies</t>
        </is>
      </c>
      <c r="I392" s="9" t="inlineStr">
        <is>
          <t>Master Dependencies</t>
        </is>
      </c>
      <c r="J392" s="9" t="inlineStr">
        <is>
          <t>45 min</t>
        </is>
      </c>
      <c r="K392" s="9" t="inlineStr">
        <is>
          <t>45 min</t>
        </is>
      </c>
      <c r="L392" s="9" t="inlineStr">
        <is>
          <t>Code/Implement Dependencies</t>
        </is>
      </c>
      <c r="M392" s="9" t="inlineStr">
        <is>
          <t>15 min</t>
        </is>
      </c>
      <c r="N392" s="9" t="inlineStr">
        <is>
          <t>How did you implement Dependencies in your RAG project?</t>
        </is>
      </c>
      <c r="O392" s="9" t="inlineStr">
        <is>
          <t>15 min</t>
        </is>
      </c>
      <c r="P392" s="9" t="inlineStr">
        <is>
          <t>Present a demo/explanation of the Dependencies feature.</t>
        </is>
      </c>
      <c r="Q392" s="9" t="inlineStr">
        <is>
          <t>Build/Refine code</t>
        </is>
      </c>
      <c r="R392" s="9" t="n">
        <v>15</v>
      </c>
      <c r="S392" s="10" t="inlineStr">
        <is>
          <t>☐ Not Started</t>
        </is>
      </c>
      <c r="T392" s="10">
        <f>IF(S392="☑ Completed", "COMPLETED", "NOT STARTED")</f>
        <v/>
      </c>
      <c r="U392" s="9" t="inlineStr">
        <is>
          <t>Review Notes for Day 79</t>
        </is>
      </c>
    </row>
    <row r="393">
      <c r="A393" s="10" t="n">
        <v>79</v>
      </c>
      <c r="B393" s="10" t="inlineStr">
        <is>
          <t>2026-11-17</t>
        </is>
      </c>
      <c r="C393" s="10" t="n">
        <v>12</v>
      </c>
      <c r="D393" s="10" t="n">
        <v>3</v>
      </c>
      <c r="E393" s="9" t="inlineStr">
        <is>
          <t>Month 3</t>
        </is>
      </c>
      <c r="F393" s="9" t="inlineStr">
        <is>
          <t>Project</t>
        </is>
      </c>
      <c r="G393" s="9" t="inlineStr">
        <is>
          <t>RAG Document Q&amp;A</t>
        </is>
      </c>
      <c r="H393" s="9" t="inlineStr">
        <is>
          <t>Document upload</t>
        </is>
      </c>
      <c r="I393" s="9" t="inlineStr">
        <is>
          <t>Master Document upload</t>
        </is>
      </c>
      <c r="J393" s="9" t="inlineStr">
        <is>
          <t>30 min</t>
        </is>
      </c>
      <c r="K393" s="9" t="inlineStr">
        <is>
          <t>30 min</t>
        </is>
      </c>
      <c r="L393" s="9" t="inlineStr">
        <is>
          <t>Code/Implement Document upload</t>
        </is>
      </c>
      <c r="M393" s="9" t="inlineStr">
        <is>
          <t>15 min</t>
        </is>
      </c>
      <c r="N393" s="9" t="inlineStr">
        <is>
          <t>How did you implement Document upload in your RAG project?</t>
        </is>
      </c>
      <c r="O393" s="9" t="inlineStr">
        <is>
          <t>15 min</t>
        </is>
      </c>
      <c r="P393" s="9" t="inlineStr">
        <is>
          <t>Present a demo/explanation of the Document upload feature.</t>
        </is>
      </c>
      <c r="Q393" s="9" t="inlineStr">
        <is>
          <t>Build/Refine code</t>
        </is>
      </c>
      <c r="R393" s="9" t="inlineStr">
        <is>
          <t>-</t>
        </is>
      </c>
      <c r="S393" s="10" t="inlineStr">
        <is>
          <t>☐ Not Started</t>
        </is>
      </c>
      <c r="T393" s="10">
        <f>IF(S393="☑ Completed", "COMPLETED", "NOT STARTED")</f>
        <v/>
      </c>
      <c r="U393" s="9" t="inlineStr">
        <is>
          <t>Review Notes for Day 79</t>
        </is>
      </c>
    </row>
    <row r="394">
      <c r="A394" s="10" t="n">
        <v>79</v>
      </c>
      <c r="B394" s="10" t="inlineStr">
        <is>
          <t>2026-11-17</t>
        </is>
      </c>
      <c r="C394" s="10" t="n">
        <v>12</v>
      </c>
      <c r="D394" s="10" t="n">
        <v>3</v>
      </c>
      <c r="E394" s="9" t="inlineStr">
        <is>
          <t>Month 3</t>
        </is>
      </c>
      <c r="F394" s="9" t="inlineStr">
        <is>
          <t>Project</t>
        </is>
      </c>
      <c r="G394" s="9" t="inlineStr">
        <is>
          <t>RAG Document Q&amp;A</t>
        </is>
      </c>
      <c r="H394" s="9" t="inlineStr">
        <is>
          <t>PDF loading</t>
        </is>
      </c>
      <c r="I394" s="9" t="inlineStr">
        <is>
          <t>Master PDF loading</t>
        </is>
      </c>
      <c r="J394" s="9" t="inlineStr">
        <is>
          <t>30 min</t>
        </is>
      </c>
      <c r="K394" s="9" t="inlineStr">
        <is>
          <t>30 min</t>
        </is>
      </c>
      <c r="L394" s="9" t="inlineStr">
        <is>
          <t>Code/Implement PDF loading</t>
        </is>
      </c>
      <c r="M394" s="9" t="inlineStr">
        <is>
          <t>15 min</t>
        </is>
      </c>
      <c r="N394" s="9" t="inlineStr">
        <is>
          <t>How did you implement PDF loading in your RAG project?</t>
        </is>
      </c>
      <c r="O394" s="9" t="inlineStr">
        <is>
          <t>15 min</t>
        </is>
      </c>
      <c r="P394" s="9" t="inlineStr">
        <is>
          <t>Present a demo/explanation of the PDF loading feature.</t>
        </is>
      </c>
      <c r="Q394" s="9" t="inlineStr">
        <is>
          <t>Build/Refine code</t>
        </is>
      </c>
      <c r="R394" s="9" t="inlineStr">
        <is>
          <t>-</t>
        </is>
      </c>
      <c r="S394" s="10" t="inlineStr">
        <is>
          <t>☐ Not Started</t>
        </is>
      </c>
      <c r="T394" s="10">
        <f>IF(S394="☑ Completed", "COMPLETED", "NOT STARTED")</f>
        <v/>
      </c>
      <c r="U394" s="9" t="inlineStr">
        <is>
          <t>Review Notes for Day 79</t>
        </is>
      </c>
    </row>
    <row r="395">
      <c r="A395" s="10" t="n">
        <v>79</v>
      </c>
      <c r="B395" s="10" t="inlineStr">
        <is>
          <t>2026-11-17</t>
        </is>
      </c>
      <c r="C395" s="10" t="n">
        <v>12</v>
      </c>
      <c r="D395" s="10" t="n">
        <v>3</v>
      </c>
      <c r="E395" s="9" t="inlineStr">
        <is>
          <t>Month 3</t>
        </is>
      </c>
      <c r="F395" s="9" t="inlineStr">
        <is>
          <t>Project</t>
        </is>
      </c>
      <c r="G395" s="9" t="inlineStr">
        <is>
          <t>RAG Document Q&amp;A</t>
        </is>
      </c>
      <c r="H395" s="9" t="inlineStr">
        <is>
          <t>Text extraction</t>
        </is>
      </c>
      <c r="I395" s="9" t="inlineStr">
        <is>
          <t>Master Text extraction</t>
        </is>
      </c>
      <c r="J395" s="9" t="inlineStr">
        <is>
          <t>30 min</t>
        </is>
      </c>
      <c r="K395" s="9" t="inlineStr">
        <is>
          <t>30 min</t>
        </is>
      </c>
      <c r="L395" s="9" t="inlineStr">
        <is>
          <t>Code/Implement Text extraction</t>
        </is>
      </c>
      <c r="M395" s="9" t="inlineStr">
        <is>
          <t>15 min</t>
        </is>
      </c>
      <c r="N395" s="9" t="inlineStr">
        <is>
          <t>How did you implement Text extraction in your RAG project?</t>
        </is>
      </c>
      <c r="O395" s="9" t="inlineStr">
        <is>
          <t>15 min</t>
        </is>
      </c>
      <c r="P395" s="9" t="inlineStr">
        <is>
          <t>Present a demo/explanation of the Text extraction feature.</t>
        </is>
      </c>
      <c r="Q395" s="9" t="inlineStr">
        <is>
          <t>Build/Refine code</t>
        </is>
      </c>
      <c r="R395" s="9" t="inlineStr">
        <is>
          <t>-</t>
        </is>
      </c>
      <c r="S395" s="10" t="inlineStr">
        <is>
          <t>☐ Not Started</t>
        </is>
      </c>
      <c r="T395" s="10">
        <f>IF(S395="☑ Completed", "COMPLETED", "NOT STARTED")</f>
        <v/>
      </c>
      <c r="U395" s="9" t="inlineStr">
        <is>
          <t>Review Notes for Day 79</t>
        </is>
      </c>
    </row>
    <row r="396">
      <c r="A396" s="10" t="n">
        <v>79</v>
      </c>
      <c r="B396" s="10" t="inlineStr">
        <is>
          <t>2026-11-17</t>
        </is>
      </c>
      <c r="C396" s="10" t="n">
        <v>12</v>
      </c>
      <c r="D396" s="10" t="n">
        <v>3</v>
      </c>
      <c r="E396" s="9" t="inlineStr">
        <is>
          <t>Month 3</t>
        </is>
      </c>
      <c r="F396" s="9" t="inlineStr">
        <is>
          <t>Project</t>
        </is>
      </c>
      <c r="G396" s="9" t="inlineStr">
        <is>
          <t>RAG Document Q&amp;A</t>
        </is>
      </c>
      <c r="H396" s="9" t="inlineStr">
        <is>
          <t>Text cleaning</t>
        </is>
      </c>
      <c r="I396" s="9" t="inlineStr">
        <is>
          <t>Master Text cleaning</t>
        </is>
      </c>
      <c r="J396" s="9" t="inlineStr">
        <is>
          <t>30 min</t>
        </is>
      </c>
      <c r="K396" s="9" t="inlineStr">
        <is>
          <t>30 min</t>
        </is>
      </c>
      <c r="L396" s="9" t="inlineStr">
        <is>
          <t>Code/Implement Text cleaning</t>
        </is>
      </c>
      <c r="M396" s="9" t="inlineStr">
        <is>
          <t>15 min</t>
        </is>
      </c>
      <c r="N396" s="9" t="inlineStr">
        <is>
          <t>How did you implement Text cleaning in your RAG project?</t>
        </is>
      </c>
      <c r="O396" s="9" t="inlineStr">
        <is>
          <t>15 min</t>
        </is>
      </c>
      <c r="P396" s="9" t="inlineStr">
        <is>
          <t>Present a demo/explanation of the Text cleaning feature.</t>
        </is>
      </c>
      <c r="Q396" s="9" t="inlineStr">
        <is>
          <t>Build/Refine code</t>
        </is>
      </c>
      <c r="R396" s="9" t="inlineStr">
        <is>
          <t>-</t>
        </is>
      </c>
      <c r="S396" s="10" t="inlineStr">
        <is>
          <t>☐ Not Started</t>
        </is>
      </c>
      <c r="T396" s="10">
        <f>IF(S396="☑ Completed", "COMPLETED", "NOT STARTED")</f>
        <v/>
      </c>
      <c r="U396" s="9" t="inlineStr">
        <is>
          <t>Review Notes for Day 79</t>
        </is>
      </c>
    </row>
    <row r="397">
      <c r="A397" s="10" t="n">
        <v>80</v>
      </c>
      <c r="B397" s="10" t="inlineStr">
        <is>
          <t>2026-11-18</t>
        </is>
      </c>
      <c r="C397" s="10" t="n">
        <v>12</v>
      </c>
      <c r="D397" s="10" t="n">
        <v>3</v>
      </c>
      <c r="E397" s="9" t="inlineStr">
        <is>
          <t>Month 3</t>
        </is>
      </c>
      <c r="F397" s="9" t="inlineStr">
        <is>
          <t>Project</t>
        </is>
      </c>
      <c r="G397" s="9" t="inlineStr">
        <is>
          <t>RAG Document Q&amp;A</t>
        </is>
      </c>
      <c r="H397" s="9" t="inlineStr">
        <is>
          <t>Chunking</t>
        </is>
      </c>
      <c r="I397" s="9" t="inlineStr">
        <is>
          <t>Master Chunking</t>
        </is>
      </c>
      <c r="J397" s="9" t="inlineStr">
        <is>
          <t>45 min</t>
        </is>
      </c>
      <c r="K397" s="9" t="inlineStr">
        <is>
          <t>45 min</t>
        </is>
      </c>
      <c r="L397" s="9" t="inlineStr">
        <is>
          <t>Code/Implement Chunking</t>
        </is>
      </c>
      <c r="M397" s="9" t="inlineStr">
        <is>
          <t>15 min</t>
        </is>
      </c>
      <c r="N397" s="9" t="inlineStr">
        <is>
          <t>How did you implement Chunking in your RAG project?</t>
        </is>
      </c>
      <c r="O397" s="9" t="inlineStr">
        <is>
          <t>15 min</t>
        </is>
      </c>
      <c r="P397" s="9" t="inlineStr">
        <is>
          <t>Present a demo/explanation of the Chunking feature.</t>
        </is>
      </c>
      <c r="Q397" s="9" t="inlineStr">
        <is>
          <t>Build/Refine code</t>
        </is>
      </c>
      <c r="R397" s="9" t="n">
        <v>15</v>
      </c>
      <c r="S397" s="10" t="inlineStr">
        <is>
          <t>☐ Not Started</t>
        </is>
      </c>
      <c r="T397" s="10">
        <f>IF(S397="☑ Completed", "COMPLETED", "NOT STARTED")</f>
        <v/>
      </c>
      <c r="U397" s="9" t="inlineStr">
        <is>
          <t>Review Notes for Day 80</t>
        </is>
      </c>
    </row>
    <row r="398">
      <c r="A398" s="10" t="n">
        <v>80</v>
      </c>
      <c r="B398" s="10" t="inlineStr">
        <is>
          <t>2026-11-18</t>
        </is>
      </c>
      <c r="C398" s="10" t="n">
        <v>12</v>
      </c>
      <c r="D398" s="10" t="n">
        <v>3</v>
      </c>
      <c r="E398" s="9" t="inlineStr">
        <is>
          <t>Month 3</t>
        </is>
      </c>
      <c r="F398" s="9" t="inlineStr">
        <is>
          <t>Project</t>
        </is>
      </c>
      <c r="G398" s="9" t="inlineStr">
        <is>
          <t>RAG Document Q&amp;A</t>
        </is>
      </c>
      <c r="H398" s="9" t="inlineStr">
        <is>
          <t>Chunk size testing</t>
        </is>
      </c>
      <c r="I398" s="9" t="inlineStr">
        <is>
          <t>Master Chunk size testing</t>
        </is>
      </c>
      <c r="J398" s="9" t="inlineStr">
        <is>
          <t>30 min</t>
        </is>
      </c>
      <c r="K398" s="9" t="inlineStr">
        <is>
          <t>30 min</t>
        </is>
      </c>
      <c r="L398" s="9" t="inlineStr">
        <is>
          <t>Code/Implement Chunk size testing</t>
        </is>
      </c>
      <c r="M398" s="9" t="inlineStr">
        <is>
          <t>15 min</t>
        </is>
      </c>
      <c r="N398" s="9" t="inlineStr">
        <is>
          <t>How did you implement Chunk size testing in your RAG project?</t>
        </is>
      </c>
      <c r="O398" s="9" t="inlineStr">
        <is>
          <t>15 min</t>
        </is>
      </c>
      <c r="P398" s="9" t="inlineStr">
        <is>
          <t>Present a demo/explanation of the Chunk size testing feature.</t>
        </is>
      </c>
      <c r="Q398" s="9" t="inlineStr">
        <is>
          <t>Build/Refine code</t>
        </is>
      </c>
      <c r="R398" s="9" t="inlineStr">
        <is>
          <t>-</t>
        </is>
      </c>
      <c r="S398" s="10" t="inlineStr">
        <is>
          <t>☐ Not Started</t>
        </is>
      </c>
      <c r="T398" s="10">
        <f>IF(S398="☑ Completed", "COMPLETED", "NOT STARTED")</f>
        <v/>
      </c>
      <c r="U398" s="9" t="inlineStr">
        <is>
          <t>Review Notes for Day 80</t>
        </is>
      </c>
    </row>
    <row r="399">
      <c r="A399" s="10" t="n">
        <v>80</v>
      </c>
      <c r="B399" s="10" t="inlineStr">
        <is>
          <t>2026-11-18</t>
        </is>
      </c>
      <c r="C399" s="10" t="n">
        <v>12</v>
      </c>
      <c r="D399" s="10" t="n">
        <v>3</v>
      </c>
      <c r="E399" s="9" t="inlineStr">
        <is>
          <t>Month 3</t>
        </is>
      </c>
      <c r="F399" s="9" t="inlineStr">
        <is>
          <t>Project</t>
        </is>
      </c>
      <c r="G399" s="9" t="inlineStr">
        <is>
          <t>RAG Document Q&amp;A</t>
        </is>
      </c>
      <c r="H399" s="9" t="inlineStr">
        <is>
          <t>Chunk overlap testing</t>
        </is>
      </c>
      <c r="I399" s="9" t="inlineStr">
        <is>
          <t>Master Chunk overlap testing</t>
        </is>
      </c>
      <c r="J399" s="9" t="inlineStr">
        <is>
          <t>30 min</t>
        </is>
      </c>
      <c r="K399" s="9" t="inlineStr">
        <is>
          <t>30 min</t>
        </is>
      </c>
      <c r="L399" s="9" t="inlineStr">
        <is>
          <t>Code/Implement Chunk overlap testing</t>
        </is>
      </c>
      <c r="M399" s="9" t="inlineStr">
        <is>
          <t>15 min</t>
        </is>
      </c>
      <c r="N399" s="9" t="inlineStr">
        <is>
          <t>How did you implement Chunk overlap testing in your RAG project?</t>
        </is>
      </c>
      <c r="O399" s="9" t="inlineStr">
        <is>
          <t>15 min</t>
        </is>
      </c>
      <c r="P399" s="9" t="inlineStr">
        <is>
          <t>Present a demo/explanation of the Chunk overlap testing feature.</t>
        </is>
      </c>
      <c r="Q399" s="9" t="inlineStr">
        <is>
          <t>Build/Refine code</t>
        </is>
      </c>
      <c r="R399" s="9" t="inlineStr">
        <is>
          <t>-</t>
        </is>
      </c>
      <c r="S399" s="10" t="inlineStr">
        <is>
          <t>☐ Not Started</t>
        </is>
      </c>
      <c r="T399" s="10">
        <f>IF(S399="☑ Completed", "COMPLETED", "NOT STARTED")</f>
        <v/>
      </c>
      <c r="U399" s="9" t="inlineStr">
        <is>
          <t>Review Notes for Day 80</t>
        </is>
      </c>
    </row>
    <row r="400">
      <c r="A400" s="10" t="n">
        <v>80</v>
      </c>
      <c r="B400" s="10" t="inlineStr">
        <is>
          <t>2026-11-18</t>
        </is>
      </c>
      <c r="C400" s="10" t="n">
        <v>12</v>
      </c>
      <c r="D400" s="10" t="n">
        <v>3</v>
      </c>
      <c r="E400" s="9" t="inlineStr">
        <is>
          <t>Month 3</t>
        </is>
      </c>
      <c r="F400" s="9" t="inlineStr">
        <is>
          <t>Project</t>
        </is>
      </c>
      <c r="G400" s="9" t="inlineStr">
        <is>
          <t>RAG Document Q&amp;A</t>
        </is>
      </c>
      <c r="H400" s="9" t="inlineStr">
        <is>
          <t>Embedding model</t>
        </is>
      </c>
      <c r="I400" s="9" t="inlineStr">
        <is>
          <t>Master Embedding model</t>
        </is>
      </c>
      <c r="J400" s="9" t="inlineStr">
        <is>
          <t>30 min</t>
        </is>
      </c>
      <c r="K400" s="9" t="inlineStr">
        <is>
          <t>30 min</t>
        </is>
      </c>
      <c r="L400" s="9" t="inlineStr">
        <is>
          <t>Code/Implement Embedding model</t>
        </is>
      </c>
      <c r="M400" s="9" t="inlineStr">
        <is>
          <t>15 min</t>
        </is>
      </c>
      <c r="N400" s="9" t="inlineStr">
        <is>
          <t>How did you implement Embedding model in your RAG project?</t>
        </is>
      </c>
      <c r="O400" s="9" t="inlineStr">
        <is>
          <t>15 min</t>
        </is>
      </c>
      <c r="P400" s="9" t="inlineStr">
        <is>
          <t>Present a demo/explanation of the Embedding model feature.</t>
        </is>
      </c>
      <c r="Q400" s="9" t="inlineStr">
        <is>
          <t>Build/Refine code</t>
        </is>
      </c>
      <c r="R400" s="9" t="inlineStr">
        <is>
          <t>-</t>
        </is>
      </c>
      <c r="S400" s="10" t="inlineStr">
        <is>
          <t>☐ Not Started</t>
        </is>
      </c>
      <c r="T400" s="10">
        <f>IF(S400="☑ Completed", "COMPLETED", "NOT STARTED")</f>
        <v/>
      </c>
      <c r="U400" s="9" t="inlineStr">
        <is>
          <t>Review Notes for Day 80</t>
        </is>
      </c>
    </row>
    <row r="401">
      <c r="A401" s="10" t="n">
        <v>80</v>
      </c>
      <c r="B401" s="10" t="inlineStr">
        <is>
          <t>2026-11-18</t>
        </is>
      </c>
      <c r="C401" s="10" t="n">
        <v>12</v>
      </c>
      <c r="D401" s="10" t="n">
        <v>3</v>
      </c>
      <c r="E401" s="9" t="inlineStr">
        <is>
          <t>Month 3</t>
        </is>
      </c>
      <c r="F401" s="9" t="inlineStr">
        <is>
          <t>Project</t>
        </is>
      </c>
      <c r="G401" s="9" t="inlineStr">
        <is>
          <t>RAG Document Q&amp;A</t>
        </is>
      </c>
      <c r="H401" s="9" t="inlineStr">
        <is>
          <t>Embedding generation</t>
        </is>
      </c>
      <c r="I401" s="9" t="inlineStr">
        <is>
          <t>Master Embedding generation</t>
        </is>
      </c>
      <c r="J401" s="9" t="inlineStr">
        <is>
          <t>30 min</t>
        </is>
      </c>
      <c r="K401" s="9" t="inlineStr">
        <is>
          <t>30 min</t>
        </is>
      </c>
      <c r="L401" s="9" t="inlineStr">
        <is>
          <t>Code/Implement Embedding generation</t>
        </is>
      </c>
      <c r="M401" s="9" t="inlineStr">
        <is>
          <t>15 min</t>
        </is>
      </c>
      <c r="N401" s="9" t="inlineStr">
        <is>
          <t>How did you implement Embedding generation in your RAG project?</t>
        </is>
      </c>
      <c r="O401" s="9" t="inlineStr">
        <is>
          <t>15 min</t>
        </is>
      </c>
      <c r="P401" s="9" t="inlineStr">
        <is>
          <t>Present a demo/explanation of the Embedding generation feature.</t>
        </is>
      </c>
      <c r="Q401" s="9" t="inlineStr">
        <is>
          <t>Build/Refine code</t>
        </is>
      </c>
      <c r="R401" s="9" t="inlineStr">
        <is>
          <t>-</t>
        </is>
      </c>
      <c r="S401" s="10" t="inlineStr">
        <is>
          <t>☐ Not Started</t>
        </is>
      </c>
      <c r="T401" s="10">
        <f>IF(S401="☑ Completed", "COMPLETED", "NOT STARTED")</f>
        <v/>
      </c>
      <c r="U401" s="9" t="inlineStr">
        <is>
          <t>Review Notes for Day 80</t>
        </is>
      </c>
    </row>
    <row r="402">
      <c r="A402" s="10" t="n">
        <v>81</v>
      </c>
      <c r="B402" s="10" t="inlineStr">
        <is>
          <t>2026-11-19</t>
        </is>
      </c>
      <c r="C402" s="10" t="n">
        <v>12</v>
      </c>
      <c r="D402" s="10" t="n">
        <v>3</v>
      </c>
      <c r="E402" s="9" t="inlineStr">
        <is>
          <t>Month 3</t>
        </is>
      </c>
      <c r="F402" s="9" t="inlineStr">
        <is>
          <t>Project</t>
        </is>
      </c>
      <c r="G402" s="9" t="inlineStr">
        <is>
          <t>RAG Document Q&amp;A</t>
        </is>
      </c>
      <c r="H402" s="9" t="inlineStr">
        <is>
          <t>FAISS setup</t>
        </is>
      </c>
      <c r="I402" s="9" t="inlineStr">
        <is>
          <t>Master FAISS setup</t>
        </is>
      </c>
      <c r="J402" s="9" t="inlineStr">
        <is>
          <t>45 min</t>
        </is>
      </c>
      <c r="K402" s="9" t="inlineStr">
        <is>
          <t>45 min</t>
        </is>
      </c>
      <c r="L402" s="9" t="inlineStr">
        <is>
          <t>Code/Implement FAISS setup</t>
        </is>
      </c>
      <c r="M402" s="9" t="inlineStr">
        <is>
          <t>15 min</t>
        </is>
      </c>
      <c r="N402" s="9" t="inlineStr">
        <is>
          <t>How did you implement FAISS setup in your RAG project?</t>
        </is>
      </c>
      <c r="O402" s="9" t="inlineStr">
        <is>
          <t>15 min</t>
        </is>
      </c>
      <c r="P402" s="9" t="inlineStr">
        <is>
          <t>Present a demo/explanation of the FAISS setup feature.</t>
        </is>
      </c>
      <c r="Q402" s="9" t="inlineStr">
        <is>
          <t>Build/Refine code</t>
        </is>
      </c>
      <c r="R402" s="9" t="n">
        <v>15</v>
      </c>
      <c r="S402" s="10" t="inlineStr">
        <is>
          <t>☐ Not Started</t>
        </is>
      </c>
      <c r="T402" s="10">
        <f>IF(S402="☑ Completed", "COMPLETED", "NOT STARTED")</f>
        <v/>
      </c>
      <c r="U402" s="9" t="inlineStr">
        <is>
          <t>Review Notes for Day 81</t>
        </is>
      </c>
    </row>
    <row r="403">
      <c r="A403" s="10" t="n">
        <v>81</v>
      </c>
      <c r="B403" s="10" t="inlineStr">
        <is>
          <t>2026-11-19</t>
        </is>
      </c>
      <c r="C403" s="10" t="n">
        <v>12</v>
      </c>
      <c r="D403" s="10" t="n">
        <v>3</v>
      </c>
      <c r="E403" s="9" t="inlineStr">
        <is>
          <t>Month 3</t>
        </is>
      </c>
      <c r="F403" s="9" t="inlineStr">
        <is>
          <t>Project</t>
        </is>
      </c>
      <c r="G403" s="9" t="inlineStr">
        <is>
          <t>RAG Document Q&amp;A</t>
        </is>
      </c>
      <c r="H403" s="9" t="inlineStr">
        <is>
          <t>Vector insertion</t>
        </is>
      </c>
      <c r="I403" s="9" t="inlineStr">
        <is>
          <t>Master Vector insertion</t>
        </is>
      </c>
      <c r="J403" s="9" t="inlineStr">
        <is>
          <t>30 min</t>
        </is>
      </c>
      <c r="K403" s="9" t="inlineStr">
        <is>
          <t>30 min</t>
        </is>
      </c>
      <c r="L403" s="9" t="inlineStr">
        <is>
          <t>Code/Implement Vector insertion</t>
        </is>
      </c>
      <c r="M403" s="9" t="inlineStr">
        <is>
          <t>15 min</t>
        </is>
      </c>
      <c r="N403" s="9" t="inlineStr">
        <is>
          <t>How did you implement Vector insertion in your RAG project?</t>
        </is>
      </c>
      <c r="O403" s="9" t="inlineStr">
        <is>
          <t>15 min</t>
        </is>
      </c>
      <c r="P403" s="9" t="inlineStr">
        <is>
          <t>Present a demo/explanation of the Vector insertion feature.</t>
        </is>
      </c>
      <c r="Q403" s="9" t="inlineStr">
        <is>
          <t>Build/Refine code</t>
        </is>
      </c>
      <c r="R403" s="9" t="inlineStr">
        <is>
          <t>-</t>
        </is>
      </c>
      <c r="S403" s="10" t="inlineStr">
        <is>
          <t>☐ Not Started</t>
        </is>
      </c>
      <c r="T403" s="10">
        <f>IF(S403="☑ Completed", "COMPLETED", "NOT STARTED")</f>
        <v/>
      </c>
      <c r="U403" s="9" t="inlineStr">
        <is>
          <t>Review Notes for Day 81</t>
        </is>
      </c>
    </row>
    <row r="404">
      <c r="A404" s="10" t="n">
        <v>81</v>
      </c>
      <c r="B404" s="10" t="inlineStr">
        <is>
          <t>2026-11-19</t>
        </is>
      </c>
      <c r="C404" s="10" t="n">
        <v>12</v>
      </c>
      <c r="D404" s="10" t="n">
        <v>3</v>
      </c>
      <c r="E404" s="9" t="inlineStr">
        <is>
          <t>Month 3</t>
        </is>
      </c>
      <c r="F404" s="9" t="inlineStr">
        <is>
          <t>Project</t>
        </is>
      </c>
      <c r="G404" s="9" t="inlineStr">
        <is>
          <t>RAG Document Q&amp;A</t>
        </is>
      </c>
      <c r="H404" s="9" t="inlineStr">
        <is>
          <t>Similarity search</t>
        </is>
      </c>
      <c r="I404" s="9" t="inlineStr">
        <is>
          <t>Master Similarity search</t>
        </is>
      </c>
      <c r="J404" s="9" t="inlineStr">
        <is>
          <t>30 min</t>
        </is>
      </c>
      <c r="K404" s="9" t="inlineStr">
        <is>
          <t>30 min</t>
        </is>
      </c>
      <c r="L404" s="9" t="inlineStr">
        <is>
          <t>Code/Implement Similarity search</t>
        </is>
      </c>
      <c r="M404" s="9" t="inlineStr">
        <is>
          <t>15 min</t>
        </is>
      </c>
      <c r="N404" s="9" t="inlineStr">
        <is>
          <t>How did you implement Similarity search in your RAG project?</t>
        </is>
      </c>
      <c r="O404" s="9" t="inlineStr">
        <is>
          <t>15 min</t>
        </is>
      </c>
      <c r="P404" s="9" t="inlineStr">
        <is>
          <t>Present a demo/explanation of the Similarity search feature.</t>
        </is>
      </c>
      <c r="Q404" s="9" t="inlineStr">
        <is>
          <t>Build/Refine code</t>
        </is>
      </c>
      <c r="R404" s="9" t="inlineStr">
        <is>
          <t>-</t>
        </is>
      </c>
      <c r="S404" s="10" t="inlineStr">
        <is>
          <t>☐ Not Started</t>
        </is>
      </c>
      <c r="T404" s="10">
        <f>IF(S404="☑ Completed", "COMPLETED", "NOT STARTED")</f>
        <v/>
      </c>
      <c r="U404" s="9" t="inlineStr">
        <is>
          <t>Review Notes for Day 81</t>
        </is>
      </c>
    </row>
    <row r="405">
      <c r="A405" s="10" t="n">
        <v>81</v>
      </c>
      <c r="B405" s="10" t="inlineStr">
        <is>
          <t>2026-11-19</t>
        </is>
      </c>
      <c r="C405" s="10" t="n">
        <v>12</v>
      </c>
      <c r="D405" s="10" t="n">
        <v>3</v>
      </c>
      <c r="E405" s="9" t="inlineStr">
        <is>
          <t>Month 3</t>
        </is>
      </c>
      <c r="F405" s="9" t="inlineStr">
        <is>
          <t>Project</t>
        </is>
      </c>
      <c r="G405" s="9" t="inlineStr">
        <is>
          <t>RAG Document Q&amp;A</t>
        </is>
      </c>
      <c r="H405" s="9" t="inlineStr">
        <is>
          <t>Retriever</t>
        </is>
      </c>
      <c r="I405" s="9" t="inlineStr">
        <is>
          <t>Master Retriever</t>
        </is>
      </c>
      <c r="J405" s="9" t="inlineStr">
        <is>
          <t>30 min</t>
        </is>
      </c>
      <c r="K405" s="9" t="inlineStr">
        <is>
          <t>30 min</t>
        </is>
      </c>
      <c r="L405" s="9" t="inlineStr">
        <is>
          <t>Code/Implement Retriever</t>
        </is>
      </c>
      <c r="M405" s="9" t="inlineStr">
        <is>
          <t>15 min</t>
        </is>
      </c>
      <c r="N405" s="9" t="inlineStr">
        <is>
          <t>How did you implement Retriever in your RAG project?</t>
        </is>
      </c>
      <c r="O405" s="9" t="inlineStr">
        <is>
          <t>15 min</t>
        </is>
      </c>
      <c r="P405" s="9" t="inlineStr">
        <is>
          <t>Present a demo/explanation of the Retriever feature.</t>
        </is>
      </c>
      <c r="Q405" s="9" t="inlineStr">
        <is>
          <t>Build/Refine code</t>
        </is>
      </c>
      <c r="R405" s="9" t="inlineStr">
        <is>
          <t>-</t>
        </is>
      </c>
      <c r="S405" s="10" t="inlineStr">
        <is>
          <t>☐ Not Started</t>
        </is>
      </c>
      <c r="T405" s="10">
        <f>IF(S405="☑ Completed", "COMPLETED", "NOT STARTED")</f>
        <v/>
      </c>
      <c r="U405" s="9" t="inlineStr">
        <is>
          <t>Review Notes for Day 81</t>
        </is>
      </c>
    </row>
    <row r="406">
      <c r="A406" s="10" t="n">
        <v>81</v>
      </c>
      <c r="B406" s="10" t="inlineStr">
        <is>
          <t>2026-11-19</t>
        </is>
      </c>
      <c r="C406" s="10" t="n">
        <v>12</v>
      </c>
      <c r="D406" s="10" t="n">
        <v>3</v>
      </c>
      <c r="E406" s="9" t="inlineStr">
        <is>
          <t>Month 3</t>
        </is>
      </c>
      <c r="F406" s="9" t="inlineStr">
        <is>
          <t>Project</t>
        </is>
      </c>
      <c r="G406" s="9" t="inlineStr">
        <is>
          <t>RAG Document Q&amp;A</t>
        </is>
      </c>
      <c r="H406" s="9" t="inlineStr">
        <is>
          <t>LLM integration</t>
        </is>
      </c>
      <c r="I406" s="9" t="inlineStr">
        <is>
          <t>Master LLM integration</t>
        </is>
      </c>
      <c r="J406" s="9" t="inlineStr">
        <is>
          <t>30 min</t>
        </is>
      </c>
      <c r="K406" s="9" t="inlineStr">
        <is>
          <t>30 min</t>
        </is>
      </c>
      <c r="L406" s="9" t="inlineStr">
        <is>
          <t>Code/Implement LLM integration</t>
        </is>
      </c>
      <c r="M406" s="9" t="inlineStr">
        <is>
          <t>15 min</t>
        </is>
      </c>
      <c r="N406" s="9" t="inlineStr">
        <is>
          <t>How did you implement LLM integration in your RAG project?</t>
        </is>
      </c>
      <c r="O406" s="9" t="inlineStr">
        <is>
          <t>15 min</t>
        </is>
      </c>
      <c r="P406" s="9" t="inlineStr">
        <is>
          <t>Present a demo/explanation of the LLM integration feature.</t>
        </is>
      </c>
      <c r="Q406" s="9" t="inlineStr">
        <is>
          <t>Build/Refine code</t>
        </is>
      </c>
      <c r="R406" s="9" t="inlineStr">
        <is>
          <t>-</t>
        </is>
      </c>
      <c r="S406" s="10" t="inlineStr">
        <is>
          <t>☐ Not Started</t>
        </is>
      </c>
      <c r="T406" s="10">
        <f>IF(S406="☑ Completed", "COMPLETED", "NOT STARTED")</f>
        <v/>
      </c>
      <c r="U406" s="9" t="inlineStr">
        <is>
          <t>Review Notes for Day 81</t>
        </is>
      </c>
    </row>
    <row r="407">
      <c r="A407" s="10" t="n">
        <v>82</v>
      </c>
      <c r="B407" s="10" t="inlineStr">
        <is>
          <t>2026-11-20</t>
        </is>
      </c>
      <c r="C407" s="10" t="n">
        <v>12</v>
      </c>
      <c r="D407" s="10" t="n">
        <v>3</v>
      </c>
      <c r="E407" s="9" t="inlineStr">
        <is>
          <t>Month 3</t>
        </is>
      </c>
      <c r="F407" s="9" t="inlineStr">
        <is>
          <t>Project</t>
        </is>
      </c>
      <c r="G407" s="9" t="inlineStr">
        <is>
          <t>RAG Document Q&amp;A</t>
        </is>
      </c>
      <c r="H407" s="9" t="inlineStr">
        <is>
          <t>Prompt design</t>
        </is>
      </c>
      <c r="I407" s="9" t="inlineStr">
        <is>
          <t>Master Prompt design</t>
        </is>
      </c>
      <c r="J407" s="9" t="inlineStr">
        <is>
          <t>45 min</t>
        </is>
      </c>
      <c r="K407" s="9" t="inlineStr">
        <is>
          <t>45 min</t>
        </is>
      </c>
      <c r="L407" s="9" t="inlineStr">
        <is>
          <t>Code/Implement Prompt design</t>
        </is>
      </c>
      <c r="M407" s="9" t="inlineStr">
        <is>
          <t>15 min</t>
        </is>
      </c>
      <c r="N407" s="9" t="inlineStr">
        <is>
          <t>How did you implement Prompt design in your RAG project?</t>
        </is>
      </c>
      <c r="O407" s="9" t="inlineStr">
        <is>
          <t>15 min</t>
        </is>
      </c>
      <c r="P407" s="9" t="inlineStr">
        <is>
          <t>Present a demo/explanation of the Prompt design feature.</t>
        </is>
      </c>
      <c r="Q407" s="9" t="inlineStr">
        <is>
          <t>Build/Refine code</t>
        </is>
      </c>
      <c r="R407" s="9" t="n">
        <v>15</v>
      </c>
      <c r="S407" s="10" t="inlineStr">
        <is>
          <t>☐ Not Started</t>
        </is>
      </c>
      <c r="T407" s="10">
        <f>IF(S407="☑ Completed", "COMPLETED", "NOT STARTED")</f>
        <v/>
      </c>
      <c r="U407" s="9" t="inlineStr">
        <is>
          <t>Review Notes for Day 82</t>
        </is>
      </c>
    </row>
    <row r="408">
      <c r="A408" s="10" t="n">
        <v>82</v>
      </c>
      <c r="B408" s="10" t="inlineStr">
        <is>
          <t>2026-11-20</t>
        </is>
      </c>
      <c r="C408" s="10" t="n">
        <v>12</v>
      </c>
      <c r="D408" s="10" t="n">
        <v>3</v>
      </c>
      <c r="E408" s="9" t="inlineStr">
        <is>
          <t>Month 3</t>
        </is>
      </c>
      <c r="F408" s="9" t="inlineStr">
        <is>
          <t>Project</t>
        </is>
      </c>
      <c r="G408" s="9" t="inlineStr">
        <is>
          <t>RAG Document Q&amp;A</t>
        </is>
      </c>
      <c r="H408" s="9" t="inlineStr">
        <is>
          <t>RAG chain</t>
        </is>
      </c>
      <c r="I408" s="9" t="inlineStr">
        <is>
          <t>Master RAG chain</t>
        </is>
      </c>
      <c r="J408" s="9" t="inlineStr">
        <is>
          <t>30 min</t>
        </is>
      </c>
      <c r="K408" s="9" t="inlineStr">
        <is>
          <t>30 min</t>
        </is>
      </c>
      <c r="L408" s="9" t="inlineStr">
        <is>
          <t>Code/Implement RAG chain</t>
        </is>
      </c>
      <c r="M408" s="9" t="inlineStr">
        <is>
          <t>15 min</t>
        </is>
      </c>
      <c r="N408" s="9" t="inlineStr">
        <is>
          <t>How did you implement RAG chain in your RAG project?</t>
        </is>
      </c>
      <c r="O408" s="9" t="inlineStr">
        <is>
          <t>15 min</t>
        </is>
      </c>
      <c r="P408" s="9" t="inlineStr">
        <is>
          <t>Present a demo/explanation of the RAG chain feature.</t>
        </is>
      </c>
      <c r="Q408" s="9" t="inlineStr">
        <is>
          <t>Build/Refine code</t>
        </is>
      </c>
      <c r="R408" s="9" t="inlineStr">
        <is>
          <t>-</t>
        </is>
      </c>
      <c r="S408" s="10" t="inlineStr">
        <is>
          <t>☐ Not Started</t>
        </is>
      </c>
      <c r="T408" s="10">
        <f>IF(S408="☑ Completed", "COMPLETED", "NOT STARTED")</f>
        <v/>
      </c>
      <c r="U408" s="9" t="inlineStr">
        <is>
          <t>Review Notes for Day 82</t>
        </is>
      </c>
    </row>
    <row r="409">
      <c r="A409" s="10" t="n">
        <v>82</v>
      </c>
      <c r="B409" s="10" t="inlineStr">
        <is>
          <t>2026-11-20</t>
        </is>
      </c>
      <c r="C409" s="10" t="n">
        <v>12</v>
      </c>
      <c r="D409" s="10" t="n">
        <v>3</v>
      </c>
      <c r="E409" s="9" t="inlineStr">
        <is>
          <t>Month 3</t>
        </is>
      </c>
      <c r="F409" s="9" t="inlineStr">
        <is>
          <t>Project</t>
        </is>
      </c>
      <c r="G409" s="9" t="inlineStr">
        <is>
          <t>RAG Document Q&amp;A</t>
        </is>
      </c>
      <c r="H409" s="9" t="inlineStr">
        <is>
          <t>Question answering</t>
        </is>
      </c>
      <c r="I409" s="9" t="inlineStr">
        <is>
          <t>Master Question answering</t>
        </is>
      </c>
      <c r="J409" s="9" t="inlineStr">
        <is>
          <t>30 min</t>
        </is>
      </c>
      <c r="K409" s="9" t="inlineStr">
        <is>
          <t>30 min</t>
        </is>
      </c>
      <c r="L409" s="9" t="inlineStr">
        <is>
          <t>Code/Implement Question answering</t>
        </is>
      </c>
      <c r="M409" s="9" t="inlineStr">
        <is>
          <t>15 min</t>
        </is>
      </c>
      <c r="N409" s="9" t="inlineStr">
        <is>
          <t>How did you implement Question answering in your RAG project?</t>
        </is>
      </c>
      <c r="O409" s="9" t="inlineStr">
        <is>
          <t>15 min</t>
        </is>
      </c>
      <c r="P409" s="9" t="inlineStr">
        <is>
          <t>Present a demo/explanation of the Question answering feature.</t>
        </is>
      </c>
      <c r="Q409" s="9" t="inlineStr">
        <is>
          <t>Build/Refine code</t>
        </is>
      </c>
      <c r="R409" s="9" t="inlineStr">
        <is>
          <t>-</t>
        </is>
      </c>
      <c r="S409" s="10" t="inlineStr">
        <is>
          <t>☐ Not Started</t>
        </is>
      </c>
      <c r="T409" s="10">
        <f>IF(S409="☑ Completed", "COMPLETED", "NOT STARTED")</f>
        <v/>
      </c>
      <c r="U409" s="9" t="inlineStr">
        <is>
          <t>Review Notes for Day 82</t>
        </is>
      </c>
    </row>
    <row r="410">
      <c r="A410" s="10" t="n">
        <v>82</v>
      </c>
      <c r="B410" s="10" t="inlineStr">
        <is>
          <t>2026-11-20</t>
        </is>
      </c>
      <c r="C410" s="10" t="n">
        <v>12</v>
      </c>
      <c r="D410" s="10" t="n">
        <v>3</v>
      </c>
      <c r="E410" s="9" t="inlineStr">
        <is>
          <t>Month 3</t>
        </is>
      </c>
      <c r="F410" s="9" t="inlineStr">
        <is>
          <t>Project</t>
        </is>
      </c>
      <c r="G410" s="9" t="inlineStr">
        <is>
          <t>RAG Document Q&amp;A</t>
        </is>
      </c>
      <c r="H410" s="9" t="inlineStr">
        <is>
          <t>Source retrieval</t>
        </is>
      </c>
      <c r="I410" s="9" t="inlineStr">
        <is>
          <t>Master Source retrieval</t>
        </is>
      </c>
      <c r="J410" s="9" t="inlineStr">
        <is>
          <t>30 min</t>
        </is>
      </c>
      <c r="K410" s="9" t="inlineStr">
        <is>
          <t>30 min</t>
        </is>
      </c>
      <c r="L410" s="9" t="inlineStr">
        <is>
          <t>Code/Implement Source retrieval</t>
        </is>
      </c>
      <c r="M410" s="9" t="inlineStr">
        <is>
          <t>15 min</t>
        </is>
      </c>
      <c r="N410" s="9" t="inlineStr">
        <is>
          <t>How did you implement Source retrieval in your RAG project?</t>
        </is>
      </c>
      <c r="O410" s="9" t="inlineStr">
        <is>
          <t>15 min</t>
        </is>
      </c>
      <c r="P410" s="9" t="inlineStr">
        <is>
          <t>Present a demo/explanation of the Source retrieval feature.</t>
        </is>
      </c>
      <c r="Q410" s="9" t="inlineStr">
        <is>
          <t>Build/Refine code</t>
        </is>
      </c>
      <c r="R410" s="9" t="inlineStr">
        <is>
          <t>-</t>
        </is>
      </c>
      <c r="S410" s="10" t="inlineStr">
        <is>
          <t>☐ Not Started</t>
        </is>
      </c>
      <c r="T410" s="10">
        <f>IF(S410="☑ Completed", "COMPLETED", "NOT STARTED")</f>
        <v/>
      </c>
      <c r="U410" s="9" t="inlineStr">
        <is>
          <t>Review Notes for Day 82</t>
        </is>
      </c>
    </row>
    <row r="411">
      <c r="A411" s="10" t="n">
        <v>82</v>
      </c>
      <c r="B411" s="10" t="inlineStr">
        <is>
          <t>2026-11-20</t>
        </is>
      </c>
      <c r="C411" s="10" t="n">
        <v>12</v>
      </c>
      <c r="D411" s="10" t="n">
        <v>3</v>
      </c>
      <c r="E411" s="9" t="inlineStr">
        <is>
          <t>Month 3</t>
        </is>
      </c>
      <c r="F411" s="9" t="inlineStr">
        <is>
          <t>Project</t>
        </is>
      </c>
      <c r="G411" s="9" t="inlineStr">
        <is>
          <t>RAG Document Q&amp;A</t>
        </is>
      </c>
      <c r="H411" s="9" t="inlineStr">
        <is>
          <t>Source display</t>
        </is>
      </c>
      <c r="I411" s="9" t="inlineStr">
        <is>
          <t>Master Source display</t>
        </is>
      </c>
      <c r="J411" s="9" t="inlineStr">
        <is>
          <t>30 min</t>
        </is>
      </c>
      <c r="K411" s="9" t="inlineStr">
        <is>
          <t>30 min</t>
        </is>
      </c>
      <c r="L411" s="9" t="inlineStr">
        <is>
          <t>Code/Implement Source display</t>
        </is>
      </c>
      <c r="M411" s="9" t="inlineStr">
        <is>
          <t>15 min</t>
        </is>
      </c>
      <c r="N411" s="9" t="inlineStr">
        <is>
          <t>How did you implement Source display in your RAG project?</t>
        </is>
      </c>
      <c r="O411" s="9" t="inlineStr">
        <is>
          <t>15 min</t>
        </is>
      </c>
      <c r="P411" s="9" t="inlineStr">
        <is>
          <t>Present a demo/explanation of the Source display feature.</t>
        </is>
      </c>
      <c r="Q411" s="9" t="inlineStr">
        <is>
          <t>Build/Refine code</t>
        </is>
      </c>
      <c r="R411" s="9" t="inlineStr">
        <is>
          <t>-</t>
        </is>
      </c>
      <c r="S411" s="10" t="inlineStr">
        <is>
          <t>☐ Not Started</t>
        </is>
      </c>
      <c r="T411" s="10">
        <f>IF(S411="☑ Completed", "COMPLETED", "NOT STARTED")</f>
        <v/>
      </c>
      <c r="U411" s="9" t="inlineStr">
        <is>
          <t>Review Notes for Day 82</t>
        </is>
      </c>
    </row>
    <row r="412">
      <c r="A412" s="10" t="n">
        <v>83</v>
      </c>
      <c r="B412" s="10" t="inlineStr">
        <is>
          <t>2026-11-21</t>
        </is>
      </c>
      <c r="C412" s="10" t="n">
        <v>12</v>
      </c>
      <c r="D412" s="10" t="n">
        <v>3</v>
      </c>
      <c r="E412" s="9" t="inlineStr">
        <is>
          <t>Month 3</t>
        </is>
      </c>
      <c r="F412" s="9" t="inlineStr">
        <is>
          <t>Project</t>
        </is>
      </c>
      <c r="G412" s="9" t="inlineStr">
        <is>
          <t>RAG Document Q&amp;A</t>
        </is>
      </c>
      <c r="H412" s="9" t="inlineStr">
        <is>
          <t>Conversation history</t>
        </is>
      </c>
      <c r="I412" s="9" t="inlineStr">
        <is>
          <t>Master Conversation history</t>
        </is>
      </c>
      <c r="J412" s="9" t="inlineStr">
        <is>
          <t>45 min</t>
        </is>
      </c>
      <c r="K412" s="9" t="inlineStr">
        <is>
          <t>45 min</t>
        </is>
      </c>
      <c r="L412" s="9" t="inlineStr">
        <is>
          <t>Code/Implement Conversation history</t>
        </is>
      </c>
      <c r="M412" s="9" t="inlineStr">
        <is>
          <t>15 min</t>
        </is>
      </c>
      <c r="N412" s="9" t="inlineStr">
        <is>
          <t>How did you implement Conversation history in your RAG project?</t>
        </is>
      </c>
      <c r="O412" s="9" t="inlineStr">
        <is>
          <t>15 min</t>
        </is>
      </c>
      <c r="P412" s="9" t="inlineStr">
        <is>
          <t>Present a demo/explanation of the Conversation history feature.</t>
        </is>
      </c>
      <c r="Q412" s="9" t="inlineStr">
        <is>
          <t>Build/Refine code</t>
        </is>
      </c>
      <c r="R412" s="9" t="n">
        <v>15</v>
      </c>
      <c r="S412" s="10" t="inlineStr">
        <is>
          <t>☐ Not Started</t>
        </is>
      </c>
      <c r="T412" s="10">
        <f>IF(S412="☑ Completed", "COMPLETED", "NOT STARTED")</f>
        <v/>
      </c>
      <c r="U412" s="9" t="inlineStr">
        <is>
          <t>Review Notes for Day 83</t>
        </is>
      </c>
    </row>
    <row r="413">
      <c r="A413" s="10" t="n">
        <v>83</v>
      </c>
      <c r="B413" s="10" t="inlineStr">
        <is>
          <t>2026-11-21</t>
        </is>
      </c>
      <c r="C413" s="10" t="n">
        <v>12</v>
      </c>
      <c r="D413" s="10" t="n">
        <v>3</v>
      </c>
      <c r="E413" s="9" t="inlineStr">
        <is>
          <t>Month 3</t>
        </is>
      </c>
      <c r="F413" s="9" t="inlineStr">
        <is>
          <t>Project</t>
        </is>
      </c>
      <c r="G413" s="9" t="inlineStr">
        <is>
          <t>RAG Document Q&amp;A</t>
        </is>
      </c>
      <c r="H413" s="9" t="inlineStr">
        <is>
          <t>Error handling</t>
        </is>
      </c>
      <c r="I413" s="9" t="inlineStr">
        <is>
          <t>Master Error handling</t>
        </is>
      </c>
      <c r="J413" s="9" t="inlineStr">
        <is>
          <t>30 min</t>
        </is>
      </c>
      <c r="K413" s="9" t="inlineStr">
        <is>
          <t>30 min</t>
        </is>
      </c>
      <c r="L413" s="9" t="inlineStr">
        <is>
          <t>Code/Implement Error handling</t>
        </is>
      </c>
      <c r="M413" s="9" t="inlineStr">
        <is>
          <t>15 min</t>
        </is>
      </c>
      <c r="N413" s="9" t="inlineStr">
        <is>
          <t>How did you implement Error handling in your RAG project?</t>
        </is>
      </c>
      <c r="O413" s="9" t="inlineStr">
        <is>
          <t>15 min</t>
        </is>
      </c>
      <c r="P413" s="9" t="inlineStr">
        <is>
          <t>Present a demo/explanation of the Error handling feature.</t>
        </is>
      </c>
      <c r="Q413" s="9" t="inlineStr">
        <is>
          <t>Build/Refine code</t>
        </is>
      </c>
      <c r="R413" s="9" t="inlineStr">
        <is>
          <t>-</t>
        </is>
      </c>
      <c r="S413" s="10" t="inlineStr">
        <is>
          <t>☐ Not Started</t>
        </is>
      </c>
      <c r="T413" s="10">
        <f>IF(S413="☑ Completed", "COMPLETED", "NOT STARTED")</f>
        <v/>
      </c>
      <c r="U413" s="9" t="inlineStr">
        <is>
          <t>Review Notes for Day 83</t>
        </is>
      </c>
    </row>
    <row r="414">
      <c r="A414" s="10" t="n">
        <v>83</v>
      </c>
      <c r="B414" s="10" t="inlineStr">
        <is>
          <t>2026-11-21</t>
        </is>
      </c>
      <c r="C414" s="10" t="n">
        <v>12</v>
      </c>
      <c r="D414" s="10" t="n">
        <v>3</v>
      </c>
      <c r="E414" s="9" t="inlineStr">
        <is>
          <t>Month 3</t>
        </is>
      </c>
      <c r="F414" s="9" t="inlineStr">
        <is>
          <t>Project</t>
        </is>
      </c>
      <c r="G414" s="9" t="inlineStr">
        <is>
          <t>RAG Document Q&amp;A</t>
        </is>
      </c>
      <c r="H414" s="9" t="inlineStr">
        <is>
          <t>Hallucination handling</t>
        </is>
      </c>
      <c r="I414" s="9" t="inlineStr">
        <is>
          <t>Master Hallucination handling</t>
        </is>
      </c>
      <c r="J414" s="9" t="inlineStr">
        <is>
          <t>30 min</t>
        </is>
      </c>
      <c r="K414" s="9" t="inlineStr">
        <is>
          <t>30 min</t>
        </is>
      </c>
      <c r="L414" s="9" t="inlineStr">
        <is>
          <t>Code/Implement Hallucination handling</t>
        </is>
      </c>
      <c r="M414" s="9" t="inlineStr">
        <is>
          <t>15 min</t>
        </is>
      </c>
      <c r="N414" s="9" t="inlineStr">
        <is>
          <t>How did you implement Hallucination handling in your RAG project?</t>
        </is>
      </c>
      <c r="O414" s="9" t="inlineStr">
        <is>
          <t>15 min</t>
        </is>
      </c>
      <c r="P414" s="9" t="inlineStr">
        <is>
          <t>Present a demo/explanation of the Hallucination handling feature.</t>
        </is>
      </c>
      <c r="Q414" s="9" t="inlineStr">
        <is>
          <t>Build/Refine code</t>
        </is>
      </c>
      <c r="R414" s="9" t="inlineStr">
        <is>
          <t>-</t>
        </is>
      </c>
      <c r="S414" s="10" t="inlineStr">
        <is>
          <t>☐ Not Started</t>
        </is>
      </c>
      <c r="T414" s="10">
        <f>IF(S414="☑ Completed", "COMPLETED", "NOT STARTED")</f>
        <v/>
      </c>
      <c r="U414" s="9" t="inlineStr">
        <is>
          <t>Review Notes for Day 83</t>
        </is>
      </c>
    </row>
    <row r="415">
      <c r="A415" s="10" t="n">
        <v>83</v>
      </c>
      <c r="B415" s="10" t="inlineStr">
        <is>
          <t>2026-11-21</t>
        </is>
      </c>
      <c r="C415" s="10" t="n">
        <v>12</v>
      </c>
      <c r="D415" s="10" t="n">
        <v>3</v>
      </c>
      <c r="E415" s="9" t="inlineStr">
        <is>
          <t>Month 3</t>
        </is>
      </c>
      <c r="F415" s="9" t="inlineStr">
        <is>
          <t>Project</t>
        </is>
      </c>
      <c r="G415" s="9" t="inlineStr">
        <is>
          <t>RAG Document Q&amp;A</t>
        </is>
      </c>
      <c r="H415" s="9" t="inlineStr">
        <is>
          <t>Retrieval testing</t>
        </is>
      </c>
      <c r="I415" s="9" t="inlineStr">
        <is>
          <t>Master Retrieval testing</t>
        </is>
      </c>
      <c r="J415" s="9" t="inlineStr">
        <is>
          <t>30 min</t>
        </is>
      </c>
      <c r="K415" s="9" t="inlineStr">
        <is>
          <t>30 min</t>
        </is>
      </c>
      <c r="L415" s="9" t="inlineStr">
        <is>
          <t>Code/Implement Retrieval testing</t>
        </is>
      </c>
      <c r="M415" s="9" t="inlineStr">
        <is>
          <t>15 min</t>
        </is>
      </c>
      <c r="N415" s="9" t="inlineStr">
        <is>
          <t>How did you implement Retrieval testing in your RAG project?</t>
        </is>
      </c>
      <c r="O415" s="9" t="inlineStr">
        <is>
          <t>15 min</t>
        </is>
      </c>
      <c r="P415" s="9" t="inlineStr">
        <is>
          <t>Present a demo/explanation of the Retrieval testing feature.</t>
        </is>
      </c>
      <c r="Q415" s="9" t="inlineStr">
        <is>
          <t>Build/Refine code</t>
        </is>
      </c>
      <c r="R415" s="9" t="inlineStr">
        <is>
          <t>-</t>
        </is>
      </c>
      <c r="S415" s="10" t="inlineStr">
        <is>
          <t>☐ Not Started</t>
        </is>
      </c>
      <c r="T415" s="10">
        <f>IF(S415="☑ Completed", "COMPLETED", "NOT STARTED")</f>
        <v/>
      </c>
      <c r="U415" s="9" t="inlineStr">
        <is>
          <t>Review Notes for Day 83</t>
        </is>
      </c>
    </row>
    <row r="416">
      <c r="A416" s="10" t="n">
        <v>83</v>
      </c>
      <c r="B416" s="10" t="inlineStr">
        <is>
          <t>2026-11-21</t>
        </is>
      </c>
      <c r="C416" s="10" t="n">
        <v>12</v>
      </c>
      <c r="D416" s="10" t="n">
        <v>3</v>
      </c>
      <c r="E416" s="9" t="inlineStr">
        <is>
          <t>Month 3</t>
        </is>
      </c>
      <c r="F416" s="9" t="inlineStr">
        <is>
          <t>Project</t>
        </is>
      </c>
      <c r="G416" s="9" t="inlineStr">
        <is>
          <t>RAG Document Q&amp;A</t>
        </is>
      </c>
      <c r="H416" s="9" t="inlineStr">
        <is>
          <t>RAG evaluation</t>
        </is>
      </c>
      <c r="I416" s="9" t="inlineStr">
        <is>
          <t>Master RAG evaluation</t>
        </is>
      </c>
      <c r="J416" s="9" t="inlineStr">
        <is>
          <t>30 min</t>
        </is>
      </c>
      <c r="K416" s="9" t="inlineStr">
        <is>
          <t>30 min</t>
        </is>
      </c>
      <c r="L416" s="9" t="inlineStr">
        <is>
          <t>Code/Implement RAG evaluation</t>
        </is>
      </c>
      <c r="M416" s="9" t="inlineStr">
        <is>
          <t>15 min</t>
        </is>
      </c>
      <c r="N416" s="9" t="inlineStr">
        <is>
          <t>How did you implement RAG evaluation in your RAG project?</t>
        </is>
      </c>
      <c r="O416" s="9" t="inlineStr">
        <is>
          <t>15 min</t>
        </is>
      </c>
      <c r="P416" s="9" t="inlineStr">
        <is>
          <t>Present a demo/explanation of the RAG evaluation feature.</t>
        </is>
      </c>
      <c r="Q416" s="9" t="inlineStr">
        <is>
          <t>Build/Refine code</t>
        </is>
      </c>
      <c r="R416" s="9" t="inlineStr">
        <is>
          <t>-</t>
        </is>
      </c>
      <c r="S416" s="10" t="inlineStr">
        <is>
          <t>☐ Not Started</t>
        </is>
      </c>
      <c r="T416" s="10">
        <f>IF(S416="☑ Completed", "COMPLETED", "NOT STARTED")</f>
        <v/>
      </c>
      <c r="U416" s="9" t="inlineStr">
        <is>
          <t>Review Notes for Day 83</t>
        </is>
      </c>
    </row>
    <row r="417">
      <c r="A417" s="10" t="n">
        <v>84</v>
      </c>
      <c r="B417" s="10" t="inlineStr">
        <is>
          <t>2026-11-22</t>
        </is>
      </c>
      <c r="C417" s="10" t="n">
        <v>12</v>
      </c>
      <c r="D417" s="10" t="n">
        <v>3</v>
      </c>
      <c r="E417" s="9" t="inlineStr">
        <is>
          <t>Month 3</t>
        </is>
      </c>
      <c r="F417" s="9" t="inlineStr">
        <is>
          <t>Project</t>
        </is>
      </c>
      <c r="G417" s="9" t="inlineStr">
        <is>
          <t>RAG Document Q&amp;A</t>
        </is>
      </c>
      <c r="H417" s="9" t="inlineStr">
        <is>
          <t>UI</t>
        </is>
      </c>
      <c r="I417" s="9" t="inlineStr">
        <is>
          <t>Master UI</t>
        </is>
      </c>
      <c r="J417" s="9" t="inlineStr">
        <is>
          <t>45 min</t>
        </is>
      </c>
      <c r="K417" s="9" t="inlineStr">
        <is>
          <t>45 min</t>
        </is>
      </c>
      <c r="L417" s="9" t="inlineStr">
        <is>
          <t>Code/Implement UI</t>
        </is>
      </c>
      <c r="M417" s="9" t="inlineStr">
        <is>
          <t>15 min</t>
        </is>
      </c>
      <c r="N417" s="9" t="inlineStr">
        <is>
          <t>How did you implement UI in your RAG project?</t>
        </is>
      </c>
      <c r="O417" s="9" t="inlineStr">
        <is>
          <t>15 min</t>
        </is>
      </c>
      <c r="P417" s="9" t="inlineStr">
        <is>
          <t>Present a demo/explanation of the UI feature.</t>
        </is>
      </c>
      <c r="Q417" s="9" t="inlineStr">
        <is>
          <t>Build/Refine code</t>
        </is>
      </c>
      <c r="R417" s="9" t="n">
        <v>15</v>
      </c>
      <c r="S417" s="10" t="inlineStr">
        <is>
          <t>☐ Not Started</t>
        </is>
      </c>
      <c r="T417" s="10">
        <f>IF(S417="☑ Completed", "COMPLETED", "NOT STARTED")</f>
        <v/>
      </c>
      <c r="U417" s="9" t="inlineStr">
        <is>
          <t>Review Notes for Day 84</t>
        </is>
      </c>
    </row>
    <row r="418">
      <c r="A418" s="10" t="n">
        <v>84</v>
      </c>
      <c r="B418" s="10" t="inlineStr">
        <is>
          <t>2026-11-22</t>
        </is>
      </c>
      <c r="C418" s="10" t="n">
        <v>12</v>
      </c>
      <c r="D418" s="10" t="n">
        <v>3</v>
      </c>
      <c r="E418" s="9" t="inlineStr">
        <is>
          <t>Month 3</t>
        </is>
      </c>
      <c r="F418" s="9" t="inlineStr">
        <is>
          <t>Project</t>
        </is>
      </c>
      <c r="G418" s="9" t="inlineStr">
        <is>
          <t>RAG Document Q&amp;A</t>
        </is>
      </c>
      <c r="H418" s="9" t="inlineStr">
        <is>
          <t>Streamlit</t>
        </is>
      </c>
      <c r="I418" s="9" t="inlineStr">
        <is>
          <t>Master Streamlit</t>
        </is>
      </c>
      <c r="J418" s="9" t="inlineStr">
        <is>
          <t>30 min</t>
        </is>
      </c>
      <c r="K418" s="9" t="inlineStr">
        <is>
          <t>30 min</t>
        </is>
      </c>
      <c r="L418" s="9" t="inlineStr">
        <is>
          <t>Code/Implement Streamlit</t>
        </is>
      </c>
      <c r="M418" s="9" t="inlineStr">
        <is>
          <t>15 min</t>
        </is>
      </c>
      <c r="N418" s="9" t="inlineStr">
        <is>
          <t>How did you implement Streamlit in your RAG project?</t>
        </is>
      </c>
      <c r="O418" s="9" t="inlineStr">
        <is>
          <t>15 min</t>
        </is>
      </c>
      <c r="P418" s="9" t="inlineStr">
        <is>
          <t>Present a demo/explanation of the Streamlit feature.</t>
        </is>
      </c>
      <c r="Q418" s="9" t="inlineStr">
        <is>
          <t>Build/Refine code</t>
        </is>
      </c>
      <c r="R418" s="9" t="inlineStr">
        <is>
          <t>-</t>
        </is>
      </c>
      <c r="S418" s="10" t="inlineStr">
        <is>
          <t>☐ Not Started</t>
        </is>
      </c>
      <c r="T418" s="10">
        <f>IF(S418="☑ Completed", "COMPLETED", "NOT STARTED")</f>
        <v/>
      </c>
      <c r="U418" s="9" t="inlineStr">
        <is>
          <t>Review Notes for Day 84</t>
        </is>
      </c>
    </row>
    <row r="419">
      <c r="A419" s="10" t="n">
        <v>84</v>
      </c>
      <c r="B419" s="10" t="inlineStr">
        <is>
          <t>2026-11-22</t>
        </is>
      </c>
      <c r="C419" s="10" t="n">
        <v>12</v>
      </c>
      <c r="D419" s="10" t="n">
        <v>3</v>
      </c>
      <c r="E419" s="9" t="inlineStr">
        <is>
          <t>Month 3</t>
        </is>
      </c>
      <c r="F419" s="9" t="inlineStr">
        <is>
          <t>Project</t>
        </is>
      </c>
      <c r="G419" s="9" t="inlineStr">
        <is>
          <t>RAG Document Q&amp;A</t>
        </is>
      </c>
      <c r="H419" s="9" t="inlineStr">
        <is>
          <t>GitHub</t>
        </is>
      </c>
      <c r="I419" s="9" t="inlineStr">
        <is>
          <t>Master GitHub</t>
        </is>
      </c>
      <c r="J419" s="9" t="inlineStr">
        <is>
          <t>30 min</t>
        </is>
      </c>
      <c r="K419" s="9" t="inlineStr">
        <is>
          <t>30 min</t>
        </is>
      </c>
      <c r="L419" s="9" t="inlineStr">
        <is>
          <t>Code/Implement GitHub</t>
        </is>
      </c>
      <c r="M419" s="9" t="inlineStr">
        <is>
          <t>15 min</t>
        </is>
      </c>
      <c r="N419" s="9" t="inlineStr">
        <is>
          <t>How did you implement GitHub in your RAG project?</t>
        </is>
      </c>
      <c r="O419" s="9" t="inlineStr">
        <is>
          <t>15 min</t>
        </is>
      </c>
      <c r="P419" s="9" t="inlineStr">
        <is>
          <t>Present a demo/explanation of the GitHub feature.</t>
        </is>
      </c>
      <c r="Q419" s="9" t="inlineStr">
        <is>
          <t>Build/Refine code</t>
        </is>
      </c>
      <c r="R419" s="9" t="inlineStr">
        <is>
          <t>-</t>
        </is>
      </c>
      <c r="S419" s="10" t="inlineStr">
        <is>
          <t>☐ Not Started</t>
        </is>
      </c>
      <c r="T419" s="10">
        <f>IF(S419="☑ Completed", "COMPLETED", "NOT STARTED")</f>
        <v/>
      </c>
      <c r="U419" s="9" t="inlineStr">
        <is>
          <t>Review Notes for Day 84</t>
        </is>
      </c>
    </row>
    <row r="420">
      <c r="A420" s="10" t="n">
        <v>84</v>
      </c>
      <c r="B420" s="10" t="inlineStr">
        <is>
          <t>2026-11-22</t>
        </is>
      </c>
      <c r="C420" s="10" t="n">
        <v>12</v>
      </c>
      <c r="D420" s="10" t="n">
        <v>3</v>
      </c>
      <c r="E420" s="9" t="inlineStr">
        <is>
          <t>Month 3</t>
        </is>
      </c>
      <c r="F420" s="9" t="inlineStr">
        <is>
          <t>Project</t>
        </is>
      </c>
      <c r="G420" s="9" t="inlineStr">
        <is>
          <t>RAG Document Q&amp;A</t>
        </is>
      </c>
      <c r="H420" s="9" t="inlineStr">
        <is>
          <t>README</t>
        </is>
      </c>
      <c r="I420" s="9" t="inlineStr">
        <is>
          <t>Master README</t>
        </is>
      </c>
      <c r="J420" s="9" t="inlineStr">
        <is>
          <t>30 min</t>
        </is>
      </c>
      <c r="K420" s="9" t="inlineStr">
        <is>
          <t>30 min</t>
        </is>
      </c>
      <c r="L420" s="9" t="inlineStr">
        <is>
          <t>Code/Implement README</t>
        </is>
      </c>
      <c r="M420" s="9" t="inlineStr">
        <is>
          <t>15 min</t>
        </is>
      </c>
      <c r="N420" s="9" t="inlineStr">
        <is>
          <t>How did you implement README in your RAG project?</t>
        </is>
      </c>
      <c r="O420" s="9" t="inlineStr">
        <is>
          <t>15 min</t>
        </is>
      </c>
      <c r="P420" s="9" t="inlineStr">
        <is>
          <t>Present a demo/explanation of the README feature.</t>
        </is>
      </c>
      <c r="Q420" s="9" t="inlineStr">
        <is>
          <t>Build/Refine code</t>
        </is>
      </c>
      <c r="R420" s="9" t="inlineStr">
        <is>
          <t>-</t>
        </is>
      </c>
      <c r="S420" s="10" t="inlineStr">
        <is>
          <t>☐ Not Started</t>
        </is>
      </c>
      <c r="T420" s="10">
        <f>IF(S420="☑ Completed", "COMPLETED", "NOT STARTED")</f>
        <v/>
      </c>
      <c r="U420" s="9" t="inlineStr">
        <is>
          <t>Review Notes for Day 84</t>
        </is>
      </c>
    </row>
    <row r="421">
      <c r="A421" s="10" t="n">
        <v>84</v>
      </c>
      <c r="B421" s="10" t="inlineStr">
        <is>
          <t>2026-11-22</t>
        </is>
      </c>
      <c r="C421" s="10" t="n">
        <v>12</v>
      </c>
      <c r="D421" s="10" t="n">
        <v>3</v>
      </c>
      <c r="E421" s="9" t="inlineStr">
        <is>
          <t>Month 3</t>
        </is>
      </c>
      <c r="F421" s="9" t="inlineStr">
        <is>
          <t>Project</t>
        </is>
      </c>
      <c r="G421" s="9" t="inlineStr">
        <is>
          <t>RAG Document Q&amp;A</t>
        </is>
      </c>
      <c r="H421" s="9" t="inlineStr">
        <is>
          <t>Deployment</t>
        </is>
      </c>
      <c r="I421" s="9" t="inlineStr">
        <is>
          <t>Master Deployment</t>
        </is>
      </c>
      <c r="J421" s="9" t="inlineStr">
        <is>
          <t>30 min</t>
        </is>
      </c>
      <c r="K421" s="9" t="inlineStr">
        <is>
          <t>30 min</t>
        </is>
      </c>
      <c r="L421" s="9" t="inlineStr">
        <is>
          <t>Code/Implement Deployment</t>
        </is>
      </c>
      <c r="M421" s="9" t="inlineStr">
        <is>
          <t>15 min</t>
        </is>
      </c>
      <c r="N421" s="9" t="inlineStr">
        <is>
          <t>How did you implement Deployment in your RAG project?</t>
        </is>
      </c>
      <c r="O421" s="9" t="inlineStr">
        <is>
          <t>15 min</t>
        </is>
      </c>
      <c r="P421" s="9" t="inlineStr">
        <is>
          <t>Present a demo/explanation of the Deployment feature.</t>
        </is>
      </c>
      <c r="Q421" s="9" t="inlineStr">
        <is>
          <t>Build/Refine code</t>
        </is>
      </c>
      <c r="R421" s="9" t="inlineStr">
        <is>
          <t>-</t>
        </is>
      </c>
      <c r="S421" s="10" t="inlineStr">
        <is>
          <t>☐ Not Started</t>
        </is>
      </c>
      <c r="T421" s="10">
        <f>IF(S421="☑ Completed", "COMPLETED", "NOT STARTED")</f>
        <v/>
      </c>
      <c r="U421" s="9" t="inlineStr">
        <is>
          <t>Review Notes for Day 84</t>
        </is>
      </c>
    </row>
    <row r="422">
      <c r="A422" s="10" t="n">
        <v>85</v>
      </c>
      <c r="B422" s="10" t="inlineStr">
        <is>
          <t>2026-11-23</t>
        </is>
      </c>
      <c r="C422" s="10" t="n">
        <v>13</v>
      </c>
      <c r="D422" s="10" t="n">
        <v>3</v>
      </c>
      <c r="E422" s="9" t="inlineStr">
        <is>
          <t>Month 3</t>
        </is>
      </c>
      <c r="F422" s="9" t="inlineStr">
        <is>
          <t>Project</t>
        </is>
      </c>
      <c r="G422" s="9" t="inlineStr">
        <is>
          <t>RAG Document Q&amp;A</t>
        </is>
      </c>
      <c r="H422" s="9" t="inlineStr">
        <is>
          <t>Project explanation</t>
        </is>
      </c>
      <c r="I422" s="9" t="inlineStr">
        <is>
          <t>Master Project explanation</t>
        </is>
      </c>
      <c r="J422" s="9" t="inlineStr">
        <is>
          <t>45 min</t>
        </is>
      </c>
      <c r="K422" s="9" t="inlineStr">
        <is>
          <t>45 min</t>
        </is>
      </c>
      <c r="L422" s="9" t="inlineStr">
        <is>
          <t>Code/Implement Project explanation</t>
        </is>
      </c>
      <c r="M422" s="9" t="inlineStr">
        <is>
          <t>15 min</t>
        </is>
      </c>
      <c r="N422" s="9" t="inlineStr">
        <is>
          <t>How did you implement Project explanation in your RAG project?</t>
        </is>
      </c>
      <c r="O422" s="9" t="inlineStr">
        <is>
          <t>15 min</t>
        </is>
      </c>
      <c r="P422" s="9" t="inlineStr">
        <is>
          <t>Present a demo/explanation of the Project explanation feature.</t>
        </is>
      </c>
      <c r="Q422" s="9" t="inlineStr">
        <is>
          <t>Build/Refine code</t>
        </is>
      </c>
      <c r="R422" s="9" t="n">
        <v>15</v>
      </c>
      <c r="S422" s="10" t="inlineStr">
        <is>
          <t>☐ Not Started</t>
        </is>
      </c>
      <c r="T422" s="10">
        <f>IF(S422="☑ Completed", "COMPLETED", "NOT STARTED")</f>
        <v/>
      </c>
      <c r="U422" s="9" t="inlineStr">
        <is>
          <t>Review Notes for Day 85</t>
        </is>
      </c>
    </row>
    <row r="423">
      <c r="A423" s="10" t="n">
        <v>85</v>
      </c>
      <c r="B423" s="10" t="inlineStr">
        <is>
          <t>2026-11-23</t>
        </is>
      </c>
      <c r="C423" s="10" t="n">
        <v>13</v>
      </c>
      <c r="D423" s="10" t="n">
        <v>3</v>
      </c>
      <c r="E423" s="9" t="inlineStr">
        <is>
          <t>Month 3</t>
        </is>
      </c>
      <c r="F423" s="9" t="inlineStr">
        <is>
          <t>Project</t>
        </is>
      </c>
      <c r="G423" s="9" t="inlineStr">
        <is>
          <t>RAG Document Q&amp;A</t>
        </is>
      </c>
      <c r="H423" s="9" t="inlineStr">
        <is>
          <t>Interview questions</t>
        </is>
      </c>
      <c r="I423" s="9" t="inlineStr">
        <is>
          <t>Master Interview questions</t>
        </is>
      </c>
      <c r="J423" s="9" t="inlineStr">
        <is>
          <t>30 min</t>
        </is>
      </c>
      <c r="K423" s="9" t="inlineStr">
        <is>
          <t>30 min</t>
        </is>
      </c>
      <c r="L423" s="9" t="inlineStr">
        <is>
          <t>Code/Implement Interview questions</t>
        </is>
      </c>
      <c r="M423" s="9" t="inlineStr">
        <is>
          <t>15 min</t>
        </is>
      </c>
      <c r="N423" s="9" t="inlineStr">
        <is>
          <t>How did you implement Interview questions in your RAG project?</t>
        </is>
      </c>
      <c r="O423" s="9" t="inlineStr">
        <is>
          <t>15 min</t>
        </is>
      </c>
      <c r="P423" s="9" t="inlineStr">
        <is>
          <t>Present a demo/explanation of the Interview questions feature.</t>
        </is>
      </c>
      <c r="Q423" s="9" t="inlineStr">
        <is>
          <t>Build/Refine code</t>
        </is>
      </c>
      <c r="R423" s="9" t="inlineStr">
        <is>
          <t>-</t>
        </is>
      </c>
      <c r="S423" s="10" t="inlineStr">
        <is>
          <t>☐ Not Started</t>
        </is>
      </c>
      <c r="T423" s="10">
        <f>IF(S423="☑ Completed", "COMPLETED", "NOT STARTED")</f>
        <v/>
      </c>
      <c r="U423" s="9" t="inlineStr">
        <is>
          <t>Review Notes for Day 85</t>
        </is>
      </c>
    </row>
    <row r="424">
      <c r="A424" s="10" t="n">
        <v>85</v>
      </c>
      <c r="B424" s="10" t="inlineStr">
        <is>
          <t>2026-11-23</t>
        </is>
      </c>
      <c r="C424" s="10" t="n">
        <v>13</v>
      </c>
      <c r="D424" s="10" t="n">
        <v>3</v>
      </c>
      <c r="E424" s="9" t="inlineStr">
        <is>
          <t>Month 4</t>
        </is>
      </c>
      <c r="F424" s="9" t="inlineStr">
        <is>
          <t>FastAPI</t>
        </is>
      </c>
      <c r="G424" s="9" t="inlineStr">
        <is>
          <t>API Dev</t>
        </is>
      </c>
      <c r="H424" s="9" t="inlineStr">
        <is>
          <t>API concept</t>
        </is>
      </c>
      <c r="I424" s="9" t="inlineStr">
        <is>
          <t>Master API concept</t>
        </is>
      </c>
      <c r="J424" s="9" t="inlineStr">
        <is>
          <t>30 min</t>
        </is>
      </c>
      <c r="K424" s="9" t="inlineStr">
        <is>
          <t>30 min</t>
        </is>
      </c>
      <c r="L424" s="9" t="inlineStr">
        <is>
          <t>Code/Implement API concept</t>
        </is>
      </c>
      <c r="M424" s="9" t="inlineStr">
        <is>
          <t>15 min</t>
        </is>
      </c>
      <c r="N424" s="9" t="inlineStr">
        <is>
          <t>Why use FastAPI for API concept?</t>
        </is>
      </c>
      <c r="O424" s="9" t="inlineStr">
        <is>
          <t>15 min</t>
        </is>
      </c>
      <c r="P424" s="9" t="inlineStr">
        <is>
          <t>Explain how API concept works in a web application.</t>
        </is>
      </c>
      <c r="Q424" s="9" t="inlineStr">
        <is>
          <t>Build/Refine code</t>
        </is>
      </c>
      <c r="R424" s="9" t="inlineStr">
        <is>
          <t>-</t>
        </is>
      </c>
      <c r="S424" s="10" t="inlineStr">
        <is>
          <t>☐ Not Started</t>
        </is>
      </c>
      <c r="T424" s="10">
        <f>IF(S424="☑ Completed", "COMPLETED", "NOT STARTED")</f>
        <v/>
      </c>
      <c r="U424" s="9" t="inlineStr">
        <is>
          <t>Review Notes for Day 85</t>
        </is>
      </c>
    </row>
    <row r="425">
      <c r="A425" s="10" t="n">
        <v>85</v>
      </c>
      <c r="B425" s="10" t="inlineStr">
        <is>
          <t>2026-11-23</t>
        </is>
      </c>
      <c r="C425" s="10" t="n">
        <v>13</v>
      </c>
      <c r="D425" s="10" t="n">
        <v>3</v>
      </c>
      <c r="E425" s="9" t="inlineStr">
        <is>
          <t>Month 4</t>
        </is>
      </c>
      <c r="F425" s="9" t="inlineStr">
        <is>
          <t>FastAPI</t>
        </is>
      </c>
      <c r="G425" s="9" t="inlineStr">
        <is>
          <t>API Dev</t>
        </is>
      </c>
      <c r="H425" s="9" t="inlineStr">
        <is>
          <t>REST API</t>
        </is>
      </c>
      <c r="I425" s="9" t="inlineStr">
        <is>
          <t>Master REST API</t>
        </is>
      </c>
      <c r="J425" s="9" t="inlineStr">
        <is>
          <t>30 min</t>
        </is>
      </c>
      <c r="K425" s="9" t="inlineStr">
        <is>
          <t>30 min</t>
        </is>
      </c>
      <c r="L425" s="9" t="inlineStr">
        <is>
          <t>Code/Implement REST API</t>
        </is>
      </c>
      <c r="M425" s="9" t="inlineStr">
        <is>
          <t>15 min</t>
        </is>
      </c>
      <c r="N425" s="9" t="inlineStr">
        <is>
          <t>Why use FastAPI for REST API?</t>
        </is>
      </c>
      <c r="O425" s="9" t="inlineStr">
        <is>
          <t>15 min</t>
        </is>
      </c>
      <c r="P425" s="9" t="inlineStr">
        <is>
          <t>Explain how REST API works in a web application.</t>
        </is>
      </c>
      <c r="Q425" s="9" t="inlineStr">
        <is>
          <t>Build/Refine code</t>
        </is>
      </c>
      <c r="R425" s="9" t="inlineStr">
        <is>
          <t>-</t>
        </is>
      </c>
      <c r="S425" s="10" t="inlineStr">
        <is>
          <t>☐ Not Started</t>
        </is>
      </c>
      <c r="T425" s="10">
        <f>IF(S425="☑ Completed", "COMPLETED", "NOT STARTED")</f>
        <v/>
      </c>
      <c r="U425" s="9" t="inlineStr">
        <is>
          <t>Review Notes for Day 85</t>
        </is>
      </c>
    </row>
    <row r="426">
      <c r="A426" s="10" t="n">
        <v>85</v>
      </c>
      <c r="B426" s="10" t="inlineStr">
        <is>
          <t>2026-11-23</t>
        </is>
      </c>
      <c r="C426" s="10" t="n">
        <v>13</v>
      </c>
      <c r="D426" s="10" t="n">
        <v>3</v>
      </c>
      <c r="E426" s="9" t="inlineStr">
        <is>
          <t>Month 4</t>
        </is>
      </c>
      <c r="F426" s="9" t="inlineStr">
        <is>
          <t>FastAPI</t>
        </is>
      </c>
      <c r="G426" s="9" t="inlineStr">
        <is>
          <t>API Dev</t>
        </is>
      </c>
      <c r="H426" s="9" t="inlineStr">
        <is>
          <t>GET</t>
        </is>
      </c>
      <c r="I426" s="9" t="inlineStr">
        <is>
          <t>Master GET</t>
        </is>
      </c>
      <c r="J426" s="9" t="inlineStr">
        <is>
          <t>30 min</t>
        </is>
      </c>
      <c r="K426" s="9" t="inlineStr">
        <is>
          <t>30 min</t>
        </is>
      </c>
      <c r="L426" s="9" t="inlineStr">
        <is>
          <t>Code/Implement GET</t>
        </is>
      </c>
      <c r="M426" s="9" t="inlineStr">
        <is>
          <t>15 min</t>
        </is>
      </c>
      <c r="N426" s="9" t="inlineStr">
        <is>
          <t>Why use FastAPI for GET?</t>
        </is>
      </c>
      <c r="O426" s="9" t="inlineStr">
        <is>
          <t>15 min</t>
        </is>
      </c>
      <c r="P426" s="9" t="inlineStr">
        <is>
          <t>Explain how GET works in a web application.</t>
        </is>
      </c>
      <c r="Q426" s="9" t="inlineStr">
        <is>
          <t>Build/Refine code</t>
        </is>
      </c>
      <c r="R426" s="9" t="inlineStr">
        <is>
          <t>-</t>
        </is>
      </c>
      <c r="S426" s="10" t="inlineStr">
        <is>
          <t>☐ Not Started</t>
        </is>
      </c>
      <c r="T426" s="10">
        <f>IF(S426="☑ Completed", "COMPLETED", "NOT STARTED")</f>
        <v/>
      </c>
      <c r="U426" s="9" t="inlineStr">
        <is>
          <t>Review Notes for Day 85</t>
        </is>
      </c>
    </row>
    <row r="427">
      <c r="A427" s="10" t="n">
        <v>86</v>
      </c>
      <c r="B427" s="10" t="inlineStr">
        <is>
          <t>2026-11-24</t>
        </is>
      </c>
      <c r="C427" s="10" t="n">
        <v>13</v>
      </c>
      <c r="D427" s="10" t="n">
        <v>3</v>
      </c>
      <c r="E427" s="9" t="inlineStr">
        <is>
          <t>Month 4</t>
        </is>
      </c>
      <c r="F427" s="9" t="inlineStr">
        <is>
          <t>FastAPI</t>
        </is>
      </c>
      <c r="G427" s="9" t="inlineStr">
        <is>
          <t>API Dev</t>
        </is>
      </c>
      <c r="H427" s="9" t="inlineStr">
        <is>
          <t>POST</t>
        </is>
      </c>
      <c r="I427" s="9" t="inlineStr">
        <is>
          <t>Master POST</t>
        </is>
      </c>
      <c r="J427" s="9" t="inlineStr">
        <is>
          <t>45 min</t>
        </is>
      </c>
      <c r="K427" s="9" t="inlineStr">
        <is>
          <t>45 min</t>
        </is>
      </c>
      <c r="L427" s="9" t="inlineStr">
        <is>
          <t>Code/Implement POST</t>
        </is>
      </c>
      <c r="M427" s="9" t="inlineStr">
        <is>
          <t>15 min</t>
        </is>
      </c>
      <c r="N427" s="9" t="inlineStr">
        <is>
          <t>Why use FastAPI for POST?</t>
        </is>
      </c>
      <c r="O427" s="9" t="inlineStr">
        <is>
          <t>15 min</t>
        </is>
      </c>
      <c r="P427" s="9" t="inlineStr">
        <is>
          <t>Explain how POST works in a web application.</t>
        </is>
      </c>
      <c r="Q427" s="9" t="inlineStr">
        <is>
          <t>Build/Refine code</t>
        </is>
      </c>
      <c r="R427" s="9" t="n">
        <v>15</v>
      </c>
      <c r="S427" s="10" t="inlineStr">
        <is>
          <t>☐ Not Started</t>
        </is>
      </c>
      <c r="T427" s="10">
        <f>IF(S427="☑ Completed", "COMPLETED", "NOT STARTED")</f>
        <v/>
      </c>
      <c r="U427" s="9" t="inlineStr">
        <is>
          <t>Review Notes for Day 86</t>
        </is>
      </c>
    </row>
    <row r="428">
      <c r="A428" s="10" t="n">
        <v>86</v>
      </c>
      <c r="B428" s="10" t="inlineStr">
        <is>
          <t>2026-11-24</t>
        </is>
      </c>
      <c r="C428" s="10" t="n">
        <v>13</v>
      </c>
      <c r="D428" s="10" t="n">
        <v>3</v>
      </c>
      <c r="E428" s="9" t="inlineStr">
        <is>
          <t>Month 4</t>
        </is>
      </c>
      <c r="F428" s="9" t="inlineStr">
        <is>
          <t>FastAPI</t>
        </is>
      </c>
      <c r="G428" s="9" t="inlineStr">
        <is>
          <t>API Dev</t>
        </is>
      </c>
      <c r="H428" s="9" t="inlineStr">
        <is>
          <t>JSON</t>
        </is>
      </c>
      <c r="I428" s="9" t="inlineStr">
        <is>
          <t>Master JSON</t>
        </is>
      </c>
      <c r="J428" s="9" t="inlineStr">
        <is>
          <t>30 min</t>
        </is>
      </c>
      <c r="K428" s="9" t="inlineStr">
        <is>
          <t>30 min</t>
        </is>
      </c>
      <c r="L428" s="9" t="inlineStr">
        <is>
          <t>Code/Implement JSON</t>
        </is>
      </c>
      <c r="M428" s="9" t="inlineStr">
        <is>
          <t>15 min</t>
        </is>
      </c>
      <c r="N428" s="9" t="inlineStr">
        <is>
          <t>Why use FastAPI for JSON?</t>
        </is>
      </c>
      <c r="O428" s="9" t="inlineStr">
        <is>
          <t>15 min</t>
        </is>
      </c>
      <c r="P428" s="9" t="inlineStr">
        <is>
          <t>Explain how JSON works in a web application.</t>
        </is>
      </c>
      <c r="Q428" s="9" t="inlineStr">
        <is>
          <t>Build/Refine code</t>
        </is>
      </c>
      <c r="R428" s="9" t="inlineStr">
        <is>
          <t>-</t>
        </is>
      </c>
      <c r="S428" s="10" t="inlineStr">
        <is>
          <t>☐ Not Started</t>
        </is>
      </c>
      <c r="T428" s="10">
        <f>IF(S428="☑ Completed", "COMPLETED", "NOT STARTED")</f>
        <v/>
      </c>
      <c r="U428" s="9" t="inlineStr">
        <is>
          <t>Review Notes for Day 86</t>
        </is>
      </c>
    </row>
    <row r="429">
      <c r="A429" s="10" t="n">
        <v>86</v>
      </c>
      <c r="B429" s="10" t="inlineStr">
        <is>
          <t>2026-11-24</t>
        </is>
      </c>
      <c r="C429" s="10" t="n">
        <v>13</v>
      </c>
      <c r="D429" s="10" t="n">
        <v>3</v>
      </c>
      <c r="E429" s="9" t="inlineStr">
        <is>
          <t>Month 4</t>
        </is>
      </c>
      <c r="F429" s="9" t="inlineStr">
        <is>
          <t>FastAPI</t>
        </is>
      </c>
      <c r="G429" s="9" t="inlineStr">
        <is>
          <t>API Dev</t>
        </is>
      </c>
      <c r="H429" s="9" t="inlineStr">
        <is>
          <t>Request</t>
        </is>
      </c>
      <c r="I429" s="9" t="inlineStr">
        <is>
          <t>Master Request</t>
        </is>
      </c>
      <c r="J429" s="9" t="inlineStr">
        <is>
          <t>30 min</t>
        </is>
      </c>
      <c r="K429" s="9" t="inlineStr">
        <is>
          <t>30 min</t>
        </is>
      </c>
      <c r="L429" s="9" t="inlineStr">
        <is>
          <t>Code/Implement Request</t>
        </is>
      </c>
      <c r="M429" s="9" t="inlineStr">
        <is>
          <t>15 min</t>
        </is>
      </c>
      <c r="N429" s="9" t="inlineStr">
        <is>
          <t>Why use FastAPI for Request?</t>
        </is>
      </c>
      <c r="O429" s="9" t="inlineStr">
        <is>
          <t>15 min</t>
        </is>
      </c>
      <c r="P429" s="9" t="inlineStr">
        <is>
          <t>Explain how Request works in a web application.</t>
        </is>
      </c>
      <c r="Q429" s="9" t="inlineStr">
        <is>
          <t>Build/Refine code</t>
        </is>
      </c>
      <c r="R429" s="9" t="inlineStr">
        <is>
          <t>-</t>
        </is>
      </c>
      <c r="S429" s="10" t="inlineStr">
        <is>
          <t>☐ Not Started</t>
        </is>
      </c>
      <c r="T429" s="10">
        <f>IF(S429="☑ Completed", "COMPLETED", "NOT STARTED")</f>
        <v/>
      </c>
      <c r="U429" s="9" t="inlineStr">
        <is>
          <t>Review Notes for Day 86</t>
        </is>
      </c>
    </row>
    <row r="430">
      <c r="A430" s="10" t="n">
        <v>86</v>
      </c>
      <c r="B430" s="10" t="inlineStr">
        <is>
          <t>2026-11-24</t>
        </is>
      </c>
      <c r="C430" s="10" t="n">
        <v>13</v>
      </c>
      <c r="D430" s="10" t="n">
        <v>3</v>
      </c>
      <c r="E430" s="9" t="inlineStr">
        <is>
          <t>Month 4</t>
        </is>
      </c>
      <c r="F430" s="9" t="inlineStr">
        <is>
          <t>FastAPI</t>
        </is>
      </c>
      <c r="G430" s="9" t="inlineStr">
        <is>
          <t>API Dev</t>
        </is>
      </c>
      <c r="H430" s="9" t="inlineStr">
        <is>
          <t>Response</t>
        </is>
      </c>
      <c r="I430" s="9" t="inlineStr">
        <is>
          <t>Master Response</t>
        </is>
      </c>
      <c r="J430" s="9" t="inlineStr">
        <is>
          <t>30 min</t>
        </is>
      </c>
      <c r="K430" s="9" t="inlineStr">
        <is>
          <t>30 min</t>
        </is>
      </c>
      <c r="L430" s="9" t="inlineStr">
        <is>
          <t>Code/Implement Response</t>
        </is>
      </c>
      <c r="M430" s="9" t="inlineStr">
        <is>
          <t>15 min</t>
        </is>
      </c>
      <c r="N430" s="9" t="inlineStr">
        <is>
          <t>Why use FastAPI for Response?</t>
        </is>
      </c>
      <c r="O430" s="9" t="inlineStr">
        <is>
          <t>15 min</t>
        </is>
      </c>
      <c r="P430" s="9" t="inlineStr">
        <is>
          <t>Explain how Response works in a web application.</t>
        </is>
      </c>
      <c r="Q430" s="9" t="inlineStr">
        <is>
          <t>Build/Refine code</t>
        </is>
      </c>
      <c r="R430" s="9" t="inlineStr">
        <is>
          <t>-</t>
        </is>
      </c>
      <c r="S430" s="10" t="inlineStr">
        <is>
          <t>☐ Not Started</t>
        </is>
      </c>
      <c r="T430" s="10">
        <f>IF(S430="☑ Completed", "COMPLETED", "NOT STARTED")</f>
        <v/>
      </c>
      <c r="U430" s="9" t="inlineStr">
        <is>
          <t>Review Notes for Day 86</t>
        </is>
      </c>
    </row>
    <row r="431">
      <c r="A431" s="10" t="n">
        <v>86</v>
      </c>
      <c r="B431" s="10" t="inlineStr">
        <is>
          <t>2026-11-24</t>
        </is>
      </c>
      <c r="C431" s="10" t="n">
        <v>13</v>
      </c>
      <c r="D431" s="10" t="n">
        <v>3</v>
      </c>
      <c r="E431" s="9" t="inlineStr">
        <is>
          <t>Month 4</t>
        </is>
      </c>
      <c r="F431" s="9" t="inlineStr">
        <is>
          <t>FastAPI</t>
        </is>
      </c>
      <c r="G431" s="9" t="inlineStr">
        <is>
          <t>API Dev</t>
        </is>
      </c>
      <c r="H431" s="9" t="inlineStr">
        <is>
          <t>Pydantic</t>
        </is>
      </c>
      <c r="I431" s="9" t="inlineStr">
        <is>
          <t>Master Pydantic</t>
        </is>
      </c>
      <c r="J431" s="9" t="inlineStr">
        <is>
          <t>30 min</t>
        </is>
      </c>
      <c r="K431" s="9" t="inlineStr">
        <is>
          <t>30 min</t>
        </is>
      </c>
      <c r="L431" s="9" t="inlineStr">
        <is>
          <t>Code/Implement Pydantic</t>
        </is>
      </c>
      <c r="M431" s="9" t="inlineStr">
        <is>
          <t>15 min</t>
        </is>
      </c>
      <c r="N431" s="9" t="inlineStr">
        <is>
          <t>Why use FastAPI for Pydantic?</t>
        </is>
      </c>
      <c r="O431" s="9" t="inlineStr">
        <is>
          <t>15 min</t>
        </is>
      </c>
      <c r="P431" s="9" t="inlineStr">
        <is>
          <t>Explain how Pydantic works in a web application.</t>
        </is>
      </c>
      <c r="Q431" s="9" t="inlineStr">
        <is>
          <t>Build/Refine code</t>
        </is>
      </c>
      <c r="R431" s="9" t="inlineStr">
        <is>
          <t>-</t>
        </is>
      </c>
      <c r="S431" s="10" t="inlineStr">
        <is>
          <t>☐ Not Started</t>
        </is>
      </c>
      <c r="T431" s="10">
        <f>IF(S431="☑ Completed", "COMPLETED", "NOT STARTED")</f>
        <v/>
      </c>
      <c r="U431" s="9" t="inlineStr">
        <is>
          <t>Review Notes for Day 86</t>
        </is>
      </c>
    </row>
    <row r="432">
      <c r="A432" s="10" t="n">
        <v>87</v>
      </c>
      <c r="B432" s="10" t="inlineStr">
        <is>
          <t>2026-11-25</t>
        </is>
      </c>
      <c r="C432" s="10" t="n">
        <v>13</v>
      </c>
      <c r="D432" s="10" t="n">
        <v>3</v>
      </c>
      <c r="E432" s="9" t="inlineStr">
        <is>
          <t>Month 4</t>
        </is>
      </c>
      <c r="F432" s="9" t="inlineStr">
        <is>
          <t>FastAPI</t>
        </is>
      </c>
      <c r="G432" s="9" t="inlineStr">
        <is>
          <t>API Dev</t>
        </is>
      </c>
      <c r="H432" s="9" t="inlineStr">
        <is>
          <t>Validation</t>
        </is>
      </c>
      <c r="I432" s="9" t="inlineStr">
        <is>
          <t>Master Validation</t>
        </is>
      </c>
      <c r="J432" s="9" t="inlineStr">
        <is>
          <t>45 min</t>
        </is>
      </c>
      <c r="K432" s="9" t="inlineStr">
        <is>
          <t>45 min</t>
        </is>
      </c>
      <c r="L432" s="9" t="inlineStr">
        <is>
          <t>Code/Implement Validation</t>
        </is>
      </c>
      <c r="M432" s="9" t="inlineStr">
        <is>
          <t>15 min</t>
        </is>
      </c>
      <c r="N432" s="9" t="inlineStr">
        <is>
          <t>Why use FastAPI for Validation?</t>
        </is>
      </c>
      <c r="O432" s="9" t="inlineStr">
        <is>
          <t>15 min</t>
        </is>
      </c>
      <c r="P432" s="9" t="inlineStr">
        <is>
          <t>Explain how Validation works in a web application.</t>
        </is>
      </c>
      <c r="Q432" s="9" t="inlineStr">
        <is>
          <t>Build/Refine code</t>
        </is>
      </c>
      <c r="R432" s="9" t="n">
        <v>15</v>
      </c>
      <c r="S432" s="10" t="inlineStr">
        <is>
          <t>☐ Not Started</t>
        </is>
      </c>
      <c r="T432" s="10">
        <f>IF(S432="☑ Completed", "COMPLETED", "NOT STARTED")</f>
        <v/>
      </c>
      <c r="U432" s="9" t="inlineStr">
        <is>
          <t>Review Notes for Day 87</t>
        </is>
      </c>
    </row>
    <row r="433">
      <c r="A433" s="10" t="n">
        <v>87</v>
      </c>
      <c r="B433" s="10" t="inlineStr">
        <is>
          <t>2026-11-25</t>
        </is>
      </c>
      <c r="C433" s="10" t="n">
        <v>13</v>
      </c>
      <c r="D433" s="10" t="n">
        <v>3</v>
      </c>
      <c r="E433" s="9" t="inlineStr">
        <is>
          <t>Month 4</t>
        </is>
      </c>
      <c r="F433" s="9" t="inlineStr">
        <is>
          <t>FastAPI</t>
        </is>
      </c>
      <c r="G433" s="9" t="inlineStr">
        <is>
          <t>API Dev</t>
        </is>
      </c>
      <c r="H433" s="9" t="inlineStr">
        <is>
          <t>AI model endpoint</t>
        </is>
      </c>
      <c r="I433" s="9" t="inlineStr">
        <is>
          <t>Master AI model endpoint</t>
        </is>
      </c>
      <c r="J433" s="9" t="inlineStr">
        <is>
          <t>30 min</t>
        </is>
      </c>
      <c r="K433" s="9" t="inlineStr">
        <is>
          <t>30 min</t>
        </is>
      </c>
      <c r="L433" s="9" t="inlineStr">
        <is>
          <t>Code/Implement AI model endpoint</t>
        </is>
      </c>
      <c r="M433" s="9" t="inlineStr">
        <is>
          <t>15 min</t>
        </is>
      </c>
      <c r="N433" s="9" t="inlineStr">
        <is>
          <t>Why use FastAPI for AI model endpoint?</t>
        </is>
      </c>
      <c r="O433" s="9" t="inlineStr">
        <is>
          <t>15 min</t>
        </is>
      </c>
      <c r="P433" s="9" t="inlineStr">
        <is>
          <t>Explain how AI model endpoint works in a web application.</t>
        </is>
      </c>
      <c r="Q433" s="9" t="inlineStr">
        <is>
          <t>Build/Refine code</t>
        </is>
      </c>
      <c r="R433" s="9" t="inlineStr">
        <is>
          <t>-</t>
        </is>
      </c>
      <c r="S433" s="10" t="inlineStr">
        <is>
          <t>☐ Not Started</t>
        </is>
      </c>
      <c r="T433" s="10">
        <f>IF(S433="☑ Completed", "COMPLETED", "NOT STARTED")</f>
        <v/>
      </c>
      <c r="U433" s="9" t="inlineStr">
        <is>
          <t>Review Notes for Day 87</t>
        </is>
      </c>
    </row>
    <row r="434">
      <c r="A434" s="10" t="n">
        <v>87</v>
      </c>
      <c r="B434" s="10" t="inlineStr">
        <is>
          <t>2026-11-25</t>
        </is>
      </c>
      <c r="C434" s="10" t="n">
        <v>13</v>
      </c>
      <c r="D434" s="10" t="n">
        <v>3</v>
      </c>
      <c r="E434" s="9" t="inlineStr">
        <is>
          <t>Month 4</t>
        </is>
      </c>
      <c r="F434" s="9" t="inlineStr">
        <is>
          <t>FastAPI</t>
        </is>
      </c>
      <c r="G434" s="9" t="inlineStr">
        <is>
          <t>API Dev</t>
        </is>
      </c>
      <c r="H434" s="9" t="inlineStr">
        <is>
          <t>RAG endpoint</t>
        </is>
      </c>
      <c r="I434" s="9" t="inlineStr">
        <is>
          <t>Master RAG endpoint</t>
        </is>
      </c>
      <c r="J434" s="9" t="inlineStr">
        <is>
          <t>30 min</t>
        </is>
      </c>
      <c r="K434" s="9" t="inlineStr">
        <is>
          <t>30 min</t>
        </is>
      </c>
      <c r="L434" s="9" t="inlineStr">
        <is>
          <t>Code/Implement RAG endpoint</t>
        </is>
      </c>
      <c r="M434" s="9" t="inlineStr">
        <is>
          <t>15 min</t>
        </is>
      </c>
      <c r="N434" s="9" t="inlineStr">
        <is>
          <t>Why use FastAPI for RAG endpoint?</t>
        </is>
      </c>
      <c r="O434" s="9" t="inlineStr">
        <is>
          <t>15 min</t>
        </is>
      </c>
      <c r="P434" s="9" t="inlineStr">
        <is>
          <t>Explain how RAG endpoint works in a web application.</t>
        </is>
      </c>
      <c r="Q434" s="9" t="inlineStr">
        <is>
          <t>Build/Refine code</t>
        </is>
      </c>
      <c r="R434" s="9" t="inlineStr">
        <is>
          <t>-</t>
        </is>
      </c>
      <c r="S434" s="10" t="inlineStr">
        <is>
          <t>☐ Not Started</t>
        </is>
      </c>
      <c r="T434" s="10">
        <f>IF(S434="☑ Completed", "COMPLETED", "NOT STARTED")</f>
        <v/>
      </c>
      <c r="U434" s="9" t="inlineStr">
        <is>
          <t>Review Notes for Day 87</t>
        </is>
      </c>
    </row>
    <row r="435">
      <c r="A435" s="10" t="n">
        <v>87</v>
      </c>
      <c r="B435" s="10" t="inlineStr">
        <is>
          <t>2026-11-25</t>
        </is>
      </c>
      <c r="C435" s="10" t="n">
        <v>13</v>
      </c>
      <c r="D435" s="10" t="n">
        <v>3</v>
      </c>
      <c r="E435" s="9" t="inlineStr">
        <is>
          <t>Month 4</t>
        </is>
      </c>
      <c r="F435" s="9" t="inlineStr">
        <is>
          <t>FastAPI</t>
        </is>
      </c>
      <c r="G435" s="9" t="inlineStr">
        <is>
          <t>API Dev</t>
        </is>
      </c>
      <c r="H435" s="9" t="inlineStr">
        <is>
          <t>API testing</t>
        </is>
      </c>
      <c r="I435" s="9" t="inlineStr">
        <is>
          <t>Master API testing</t>
        </is>
      </c>
      <c r="J435" s="9" t="inlineStr">
        <is>
          <t>30 min</t>
        </is>
      </c>
      <c r="K435" s="9" t="inlineStr">
        <is>
          <t>30 min</t>
        </is>
      </c>
      <c r="L435" s="9" t="inlineStr">
        <is>
          <t>Code/Implement API testing</t>
        </is>
      </c>
      <c r="M435" s="9" t="inlineStr">
        <is>
          <t>15 min</t>
        </is>
      </c>
      <c r="N435" s="9" t="inlineStr">
        <is>
          <t>Why use FastAPI for API testing?</t>
        </is>
      </c>
      <c r="O435" s="9" t="inlineStr">
        <is>
          <t>15 min</t>
        </is>
      </c>
      <c r="P435" s="9" t="inlineStr">
        <is>
          <t>Explain how API testing works in a web application.</t>
        </is>
      </c>
      <c r="Q435" s="9" t="inlineStr">
        <is>
          <t>Build/Refine code</t>
        </is>
      </c>
      <c r="R435" s="9" t="inlineStr">
        <is>
          <t>-</t>
        </is>
      </c>
      <c r="S435" s="10" t="inlineStr">
        <is>
          <t>☐ Not Started</t>
        </is>
      </c>
      <c r="T435" s="10">
        <f>IF(S435="☑ Completed", "COMPLETED", "NOT STARTED")</f>
        <v/>
      </c>
      <c r="U435" s="9" t="inlineStr">
        <is>
          <t>Review Notes for Day 87</t>
        </is>
      </c>
    </row>
    <row r="436">
      <c r="A436" s="10" t="n">
        <v>87</v>
      </c>
      <c r="B436" s="10" t="inlineStr">
        <is>
          <t>2026-11-25</t>
        </is>
      </c>
      <c r="C436" s="10" t="n">
        <v>13</v>
      </c>
      <c r="D436" s="10" t="n">
        <v>3</v>
      </c>
      <c r="E436" s="9" t="inlineStr">
        <is>
          <t>Month 4</t>
        </is>
      </c>
      <c r="F436" s="9" t="inlineStr">
        <is>
          <t>Git</t>
        </is>
      </c>
      <c r="G436" s="9" t="inlineStr">
        <is>
          <t>Version Control</t>
        </is>
      </c>
      <c r="H436" s="9" t="inlineStr">
        <is>
          <t>git init</t>
        </is>
      </c>
      <c r="I436" s="9" t="inlineStr">
        <is>
          <t>Master git init</t>
        </is>
      </c>
      <c r="J436" s="9" t="inlineStr">
        <is>
          <t>30 min</t>
        </is>
      </c>
      <c r="K436" s="9" t="inlineStr">
        <is>
          <t>30 min</t>
        </is>
      </c>
      <c r="L436" s="9" t="inlineStr">
        <is>
          <t>Code/Implement git init</t>
        </is>
      </c>
      <c r="M436" s="9" t="inlineStr">
        <is>
          <t>15 min</t>
        </is>
      </c>
      <c r="N436" s="9" t="inlineStr">
        <is>
          <t>What is the standard practice for git init?</t>
        </is>
      </c>
      <c r="O436" s="9" t="inlineStr">
        <is>
          <t>15 min</t>
        </is>
      </c>
      <c r="P436" s="9" t="inlineStr">
        <is>
          <t>Walk me through your git init workflow.</t>
        </is>
      </c>
      <c r="Q436" s="9" t="inlineStr">
        <is>
          <t>Build/Refine code</t>
        </is>
      </c>
      <c r="R436" s="9" t="inlineStr">
        <is>
          <t>-</t>
        </is>
      </c>
      <c r="S436" s="10" t="inlineStr">
        <is>
          <t>☐ Not Started</t>
        </is>
      </c>
      <c r="T436" s="10">
        <f>IF(S436="☑ Completed", "COMPLETED", "NOT STARTED")</f>
        <v/>
      </c>
      <c r="U436" s="9" t="inlineStr">
        <is>
          <t>Review Notes for Day 87</t>
        </is>
      </c>
    </row>
    <row r="437">
      <c r="A437" s="10" t="n">
        <v>88</v>
      </c>
      <c r="B437" s="10" t="inlineStr">
        <is>
          <t>2026-11-26</t>
        </is>
      </c>
      <c r="C437" s="10" t="n">
        <v>13</v>
      </c>
      <c r="D437" s="10" t="n">
        <v>3</v>
      </c>
      <c r="E437" s="9" t="inlineStr">
        <is>
          <t>Month 4</t>
        </is>
      </c>
      <c r="F437" s="9" t="inlineStr">
        <is>
          <t>Git</t>
        </is>
      </c>
      <c r="G437" s="9" t="inlineStr">
        <is>
          <t>Version Control</t>
        </is>
      </c>
      <c r="H437" s="9" t="inlineStr">
        <is>
          <t>git clone</t>
        </is>
      </c>
      <c r="I437" s="9" t="inlineStr">
        <is>
          <t>Master git clone</t>
        </is>
      </c>
      <c r="J437" s="9" t="inlineStr">
        <is>
          <t>45 min</t>
        </is>
      </c>
      <c r="K437" s="9" t="inlineStr">
        <is>
          <t>45 min</t>
        </is>
      </c>
      <c r="L437" s="9" t="inlineStr">
        <is>
          <t>Code/Implement git clone</t>
        </is>
      </c>
      <c r="M437" s="9" t="inlineStr">
        <is>
          <t>15 min</t>
        </is>
      </c>
      <c r="N437" s="9" t="inlineStr">
        <is>
          <t>What is the standard practice for git clone?</t>
        </is>
      </c>
      <c r="O437" s="9" t="inlineStr">
        <is>
          <t>15 min</t>
        </is>
      </c>
      <c r="P437" s="9" t="inlineStr">
        <is>
          <t>Walk me through your git clone workflow.</t>
        </is>
      </c>
      <c r="Q437" s="9" t="inlineStr">
        <is>
          <t>Build/Refine code</t>
        </is>
      </c>
      <c r="R437" s="9" t="n">
        <v>15</v>
      </c>
      <c r="S437" s="10" t="inlineStr">
        <is>
          <t>☐ Not Started</t>
        </is>
      </c>
      <c r="T437" s="10">
        <f>IF(S437="☑ Completed", "COMPLETED", "NOT STARTED")</f>
        <v/>
      </c>
      <c r="U437" s="9" t="inlineStr">
        <is>
          <t>Review Notes for Day 88</t>
        </is>
      </c>
    </row>
    <row r="438">
      <c r="A438" s="10" t="n">
        <v>88</v>
      </c>
      <c r="B438" s="10" t="inlineStr">
        <is>
          <t>2026-11-26</t>
        </is>
      </c>
      <c r="C438" s="10" t="n">
        <v>13</v>
      </c>
      <c r="D438" s="10" t="n">
        <v>3</v>
      </c>
      <c r="E438" s="9" t="inlineStr">
        <is>
          <t>Month 4</t>
        </is>
      </c>
      <c r="F438" s="9" t="inlineStr">
        <is>
          <t>Git</t>
        </is>
      </c>
      <c r="G438" s="9" t="inlineStr">
        <is>
          <t>Version Control</t>
        </is>
      </c>
      <c r="H438" s="9" t="inlineStr">
        <is>
          <t>git add</t>
        </is>
      </c>
      <c r="I438" s="9" t="inlineStr">
        <is>
          <t>Master git add</t>
        </is>
      </c>
      <c r="J438" s="9" t="inlineStr">
        <is>
          <t>30 min</t>
        </is>
      </c>
      <c r="K438" s="9" t="inlineStr">
        <is>
          <t>30 min</t>
        </is>
      </c>
      <c r="L438" s="9" t="inlineStr">
        <is>
          <t>Code/Implement git add</t>
        </is>
      </c>
      <c r="M438" s="9" t="inlineStr">
        <is>
          <t>15 min</t>
        </is>
      </c>
      <c r="N438" s="9" t="inlineStr">
        <is>
          <t>What is the standard practice for git add?</t>
        </is>
      </c>
      <c r="O438" s="9" t="inlineStr">
        <is>
          <t>15 min</t>
        </is>
      </c>
      <c r="P438" s="9" t="inlineStr">
        <is>
          <t>Walk me through your git add workflow.</t>
        </is>
      </c>
      <c r="Q438" s="9" t="inlineStr">
        <is>
          <t>Build/Refine code</t>
        </is>
      </c>
      <c r="R438" s="9" t="inlineStr">
        <is>
          <t>-</t>
        </is>
      </c>
      <c r="S438" s="10" t="inlineStr">
        <is>
          <t>☐ Not Started</t>
        </is>
      </c>
      <c r="T438" s="10">
        <f>IF(S438="☑ Completed", "COMPLETED", "NOT STARTED")</f>
        <v/>
      </c>
      <c r="U438" s="9" t="inlineStr">
        <is>
          <t>Review Notes for Day 88</t>
        </is>
      </c>
    </row>
    <row r="439">
      <c r="A439" s="10" t="n">
        <v>88</v>
      </c>
      <c r="B439" s="10" t="inlineStr">
        <is>
          <t>2026-11-26</t>
        </is>
      </c>
      <c r="C439" s="10" t="n">
        <v>13</v>
      </c>
      <c r="D439" s="10" t="n">
        <v>3</v>
      </c>
      <c r="E439" s="9" t="inlineStr">
        <is>
          <t>Month 4</t>
        </is>
      </c>
      <c r="F439" s="9" t="inlineStr">
        <is>
          <t>Git</t>
        </is>
      </c>
      <c r="G439" s="9" t="inlineStr">
        <is>
          <t>Version Control</t>
        </is>
      </c>
      <c r="H439" s="9" t="inlineStr">
        <is>
          <t>git commit</t>
        </is>
      </c>
      <c r="I439" s="9" t="inlineStr">
        <is>
          <t>Master git commit</t>
        </is>
      </c>
      <c r="J439" s="9" t="inlineStr">
        <is>
          <t>30 min</t>
        </is>
      </c>
      <c r="K439" s="9" t="inlineStr">
        <is>
          <t>30 min</t>
        </is>
      </c>
      <c r="L439" s="9" t="inlineStr">
        <is>
          <t>Code/Implement git commit</t>
        </is>
      </c>
      <c r="M439" s="9" t="inlineStr">
        <is>
          <t>15 min</t>
        </is>
      </c>
      <c r="N439" s="9" t="inlineStr">
        <is>
          <t>What is the standard practice for git commit?</t>
        </is>
      </c>
      <c r="O439" s="9" t="inlineStr">
        <is>
          <t>15 min</t>
        </is>
      </c>
      <c r="P439" s="9" t="inlineStr">
        <is>
          <t>Walk me through your git commit workflow.</t>
        </is>
      </c>
      <c r="Q439" s="9" t="inlineStr">
        <is>
          <t>Build/Refine code</t>
        </is>
      </c>
      <c r="R439" s="9" t="inlineStr">
        <is>
          <t>-</t>
        </is>
      </c>
      <c r="S439" s="10" t="inlineStr">
        <is>
          <t>☐ Not Started</t>
        </is>
      </c>
      <c r="T439" s="10">
        <f>IF(S439="☑ Completed", "COMPLETED", "NOT STARTED")</f>
        <v/>
      </c>
      <c r="U439" s="9" t="inlineStr">
        <is>
          <t>Review Notes for Day 88</t>
        </is>
      </c>
    </row>
    <row r="440">
      <c r="A440" s="10" t="n">
        <v>88</v>
      </c>
      <c r="B440" s="10" t="inlineStr">
        <is>
          <t>2026-11-26</t>
        </is>
      </c>
      <c r="C440" s="10" t="n">
        <v>13</v>
      </c>
      <c r="D440" s="10" t="n">
        <v>3</v>
      </c>
      <c r="E440" s="9" t="inlineStr">
        <is>
          <t>Month 4</t>
        </is>
      </c>
      <c r="F440" s="9" t="inlineStr">
        <is>
          <t>Git</t>
        </is>
      </c>
      <c r="G440" s="9" t="inlineStr">
        <is>
          <t>Version Control</t>
        </is>
      </c>
      <c r="H440" s="9" t="inlineStr">
        <is>
          <t>git push</t>
        </is>
      </c>
      <c r="I440" s="9" t="inlineStr">
        <is>
          <t>Master git push</t>
        </is>
      </c>
      <c r="J440" s="9" t="inlineStr">
        <is>
          <t>30 min</t>
        </is>
      </c>
      <c r="K440" s="9" t="inlineStr">
        <is>
          <t>30 min</t>
        </is>
      </c>
      <c r="L440" s="9" t="inlineStr">
        <is>
          <t>Code/Implement git push</t>
        </is>
      </c>
      <c r="M440" s="9" t="inlineStr">
        <is>
          <t>15 min</t>
        </is>
      </c>
      <c r="N440" s="9" t="inlineStr">
        <is>
          <t>What is the standard practice for git push?</t>
        </is>
      </c>
      <c r="O440" s="9" t="inlineStr">
        <is>
          <t>15 min</t>
        </is>
      </c>
      <c r="P440" s="9" t="inlineStr">
        <is>
          <t>Walk me through your git push workflow.</t>
        </is>
      </c>
      <c r="Q440" s="9" t="inlineStr">
        <is>
          <t>Build/Refine code</t>
        </is>
      </c>
      <c r="R440" s="9" t="inlineStr">
        <is>
          <t>-</t>
        </is>
      </c>
      <c r="S440" s="10" t="inlineStr">
        <is>
          <t>☐ Not Started</t>
        </is>
      </c>
      <c r="T440" s="10">
        <f>IF(S440="☑ Completed", "COMPLETED", "NOT STARTED")</f>
        <v/>
      </c>
      <c r="U440" s="9" t="inlineStr">
        <is>
          <t>Review Notes for Day 88</t>
        </is>
      </c>
    </row>
    <row r="441">
      <c r="A441" s="10" t="n">
        <v>88</v>
      </c>
      <c r="B441" s="10" t="inlineStr">
        <is>
          <t>2026-11-26</t>
        </is>
      </c>
      <c r="C441" s="10" t="n">
        <v>13</v>
      </c>
      <c r="D441" s="10" t="n">
        <v>3</v>
      </c>
      <c r="E441" s="9" t="inlineStr">
        <is>
          <t>Month 4</t>
        </is>
      </c>
      <c r="F441" s="9" t="inlineStr">
        <is>
          <t>Git</t>
        </is>
      </c>
      <c r="G441" s="9" t="inlineStr">
        <is>
          <t>Version Control</t>
        </is>
      </c>
      <c r="H441" s="9" t="inlineStr">
        <is>
          <t>git pull</t>
        </is>
      </c>
      <c r="I441" s="9" t="inlineStr">
        <is>
          <t>Master git pull</t>
        </is>
      </c>
      <c r="J441" s="9" t="inlineStr">
        <is>
          <t>30 min</t>
        </is>
      </c>
      <c r="K441" s="9" t="inlineStr">
        <is>
          <t>30 min</t>
        </is>
      </c>
      <c r="L441" s="9" t="inlineStr">
        <is>
          <t>Code/Implement git pull</t>
        </is>
      </c>
      <c r="M441" s="9" t="inlineStr">
        <is>
          <t>15 min</t>
        </is>
      </c>
      <c r="N441" s="9" t="inlineStr">
        <is>
          <t>What is the standard practice for git pull?</t>
        </is>
      </c>
      <c r="O441" s="9" t="inlineStr">
        <is>
          <t>15 min</t>
        </is>
      </c>
      <c r="P441" s="9" t="inlineStr">
        <is>
          <t>Walk me through your git pull workflow.</t>
        </is>
      </c>
      <c r="Q441" s="9" t="inlineStr">
        <is>
          <t>Build/Refine code</t>
        </is>
      </c>
      <c r="R441" s="9" t="inlineStr">
        <is>
          <t>-</t>
        </is>
      </c>
      <c r="S441" s="10" t="inlineStr">
        <is>
          <t>☐ Not Started</t>
        </is>
      </c>
      <c r="T441" s="10">
        <f>IF(S441="☑ Completed", "COMPLETED", "NOT STARTED")</f>
        <v/>
      </c>
      <c r="U441" s="9" t="inlineStr">
        <is>
          <t>Review Notes for Day 88</t>
        </is>
      </c>
    </row>
    <row r="442">
      <c r="A442" s="10" t="n">
        <v>89</v>
      </c>
      <c r="B442" s="10" t="inlineStr">
        <is>
          <t>2026-11-27</t>
        </is>
      </c>
      <c r="C442" s="10" t="n">
        <v>13</v>
      </c>
      <c r="D442" s="10" t="n">
        <v>3</v>
      </c>
      <c r="E442" s="9" t="inlineStr">
        <is>
          <t>Month 4</t>
        </is>
      </c>
      <c r="F442" s="9" t="inlineStr">
        <is>
          <t>Git</t>
        </is>
      </c>
      <c r="G442" s="9" t="inlineStr">
        <is>
          <t>Version Control</t>
        </is>
      </c>
      <c r="H442" s="9" t="inlineStr">
        <is>
          <t>branch</t>
        </is>
      </c>
      <c r="I442" s="9" t="inlineStr">
        <is>
          <t>Master branch</t>
        </is>
      </c>
      <c r="J442" s="9" t="inlineStr">
        <is>
          <t>45 min</t>
        </is>
      </c>
      <c r="K442" s="9" t="inlineStr">
        <is>
          <t>45 min</t>
        </is>
      </c>
      <c r="L442" s="9" t="inlineStr">
        <is>
          <t>Code/Implement branch</t>
        </is>
      </c>
      <c r="M442" s="9" t="inlineStr">
        <is>
          <t>15 min</t>
        </is>
      </c>
      <c r="N442" s="9" t="inlineStr">
        <is>
          <t>What is the standard practice for branch?</t>
        </is>
      </c>
      <c r="O442" s="9" t="inlineStr">
        <is>
          <t>15 min</t>
        </is>
      </c>
      <c r="P442" s="9" t="inlineStr">
        <is>
          <t>Walk me through your branch workflow.</t>
        </is>
      </c>
      <c r="Q442" s="9" t="inlineStr">
        <is>
          <t>Build/Refine code</t>
        </is>
      </c>
      <c r="R442" s="9" t="n">
        <v>15</v>
      </c>
      <c r="S442" s="10" t="inlineStr">
        <is>
          <t>☐ Not Started</t>
        </is>
      </c>
      <c r="T442" s="10">
        <f>IF(S442="☑ Completed", "COMPLETED", "NOT STARTED")</f>
        <v/>
      </c>
      <c r="U442" s="9" t="inlineStr">
        <is>
          <t>Review Notes for Day 89</t>
        </is>
      </c>
    </row>
    <row r="443">
      <c r="A443" s="10" t="n">
        <v>89</v>
      </c>
      <c r="B443" s="10" t="inlineStr">
        <is>
          <t>2026-11-27</t>
        </is>
      </c>
      <c r="C443" s="10" t="n">
        <v>13</v>
      </c>
      <c r="D443" s="10" t="n">
        <v>3</v>
      </c>
      <c r="E443" s="9" t="inlineStr">
        <is>
          <t>Month 4</t>
        </is>
      </c>
      <c r="F443" s="9" t="inlineStr">
        <is>
          <t>Git</t>
        </is>
      </c>
      <c r="G443" s="9" t="inlineStr">
        <is>
          <t>Version Control</t>
        </is>
      </c>
      <c r="H443" s="9" t="inlineStr">
        <is>
          <t>merge</t>
        </is>
      </c>
      <c r="I443" s="9" t="inlineStr">
        <is>
          <t>Master merge</t>
        </is>
      </c>
      <c r="J443" s="9" t="inlineStr">
        <is>
          <t>30 min</t>
        </is>
      </c>
      <c r="K443" s="9" t="inlineStr">
        <is>
          <t>30 min</t>
        </is>
      </c>
      <c r="L443" s="9" t="inlineStr">
        <is>
          <t>Code/Implement merge</t>
        </is>
      </c>
      <c r="M443" s="9" t="inlineStr">
        <is>
          <t>15 min</t>
        </is>
      </c>
      <c r="N443" s="9" t="inlineStr">
        <is>
          <t>What is the standard practice for merge?</t>
        </is>
      </c>
      <c r="O443" s="9" t="inlineStr">
        <is>
          <t>15 min</t>
        </is>
      </c>
      <c r="P443" s="9" t="inlineStr">
        <is>
          <t>Walk me through your merge workflow.</t>
        </is>
      </c>
      <c r="Q443" s="9" t="inlineStr">
        <is>
          <t>Build/Refine code</t>
        </is>
      </c>
      <c r="R443" s="9" t="inlineStr">
        <is>
          <t>-</t>
        </is>
      </c>
      <c r="S443" s="10" t="inlineStr">
        <is>
          <t>☐ Not Started</t>
        </is>
      </c>
      <c r="T443" s="10">
        <f>IF(S443="☑ Completed", "COMPLETED", "NOT STARTED")</f>
        <v/>
      </c>
      <c r="U443" s="9" t="inlineStr">
        <is>
          <t>Review Notes for Day 89</t>
        </is>
      </c>
    </row>
    <row r="444">
      <c r="A444" s="10" t="n">
        <v>89</v>
      </c>
      <c r="B444" s="10" t="inlineStr">
        <is>
          <t>2026-11-27</t>
        </is>
      </c>
      <c r="C444" s="10" t="n">
        <v>13</v>
      </c>
      <c r="D444" s="10" t="n">
        <v>3</v>
      </c>
      <c r="E444" s="9" t="inlineStr">
        <is>
          <t>Month 4</t>
        </is>
      </c>
      <c r="F444" s="9" t="inlineStr">
        <is>
          <t>Git</t>
        </is>
      </c>
      <c r="G444" s="9" t="inlineStr">
        <is>
          <t>Version Control</t>
        </is>
      </c>
      <c r="H444" s="9" t="inlineStr">
        <is>
          <t>.gitignore</t>
        </is>
      </c>
      <c r="I444" s="9" t="inlineStr">
        <is>
          <t>Master .gitignore</t>
        </is>
      </c>
      <c r="J444" s="9" t="inlineStr">
        <is>
          <t>30 min</t>
        </is>
      </c>
      <c r="K444" s="9" t="inlineStr">
        <is>
          <t>30 min</t>
        </is>
      </c>
      <c r="L444" s="9" t="inlineStr">
        <is>
          <t>Code/Implement .gitignore</t>
        </is>
      </c>
      <c r="M444" s="9" t="inlineStr">
        <is>
          <t>15 min</t>
        </is>
      </c>
      <c r="N444" s="9" t="inlineStr">
        <is>
          <t>What is the standard practice for .gitignore?</t>
        </is>
      </c>
      <c r="O444" s="9" t="inlineStr">
        <is>
          <t>15 min</t>
        </is>
      </c>
      <c r="P444" s="9" t="inlineStr">
        <is>
          <t>Walk me through your .gitignore workflow.</t>
        </is>
      </c>
      <c r="Q444" s="9" t="inlineStr">
        <is>
          <t>Build/Refine code</t>
        </is>
      </c>
      <c r="R444" s="9" t="inlineStr">
        <is>
          <t>-</t>
        </is>
      </c>
      <c r="S444" s="10" t="inlineStr">
        <is>
          <t>☐ Not Started</t>
        </is>
      </c>
      <c r="T444" s="10">
        <f>IF(S444="☑ Completed", "COMPLETED", "NOT STARTED")</f>
        <v/>
      </c>
      <c r="U444" s="9" t="inlineStr">
        <is>
          <t>Review Notes for Day 89</t>
        </is>
      </c>
    </row>
    <row r="445">
      <c r="A445" s="10" t="n">
        <v>89</v>
      </c>
      <c r="B445" s="10" t="inlineStr">
        <is>
          <t>2026-11-27</t>
        </is>
      </c>
      <c r="C445" s="10" t="n">
        <v>13</v>
      </c>
      <c r="D445" s="10" t="n">
        <v>3</v>
      </c>
      <c r="E445" s="9" t="inlineStr">
        <is>
          <t>Month 4</t>
        </is>
      </c>
      <c r="F445" s="9" t="inlineStr">
        <is>
          <t>Git</t>
        </is>
      </c>
      <c r="G445" s="9" t="inlineStr">
        <is>
          <t>Version Control</t>
        </is>
      </c>
      <c r="H445" s="9" t="inlineStr">
        <is>
          <t>README</t>
        </is>
      </c>
      <c r="I445" s="9" t="inlineStr">
        <is>
          <t>Master README</t>
        </is>
      </c>
      <c r="J445" s="9" t="inlineStr">
        <is>
          <t>30 min</t>
        </is>
      </c>
      <c r="K445" s="9" t="inlineStr">
        <is>
          <t>30 min</t>
        </is>
      </c>
      <c r="L445" s="9" t="inlineStr">
        <is>
          <t>Code/Implement README</t>
        </is>
      </c>
      <c r="M445" s="9" t="inlineStr">
        <is>
          <t>15 min</t>
        </is>
      </c>
      <c r="N445" s="9" t="inlineStr">
        <is>
          <t>What is the standard practice for README?</t>
        </is>
      </c>
      <c r="O445" s="9" t="inlineStr">
        <is>
          <t>15 min</t>
        </is>
      </c>
      <c r="P445" s="9" t="inlineStr">
        <is>
          <t>Walk me through your README workflow.</t>
        </is>
      </c>
      <c r="Q445" s="9" t="inlineStr">
        <is>
          <t>Build/Refine code</t>
        </is>
      </c>
      <c r="R445" s="9" t="inlineStr">
        <is>
          <t>-</t>
        </is>
      </c>
      <c r="S445" s="10" t="inlineStr">
        <is>
          <t>☐ Not Started</t>
        </is>
      </c>
      <c r="T445" s="10">
        <f>IF(S445="☑ Completed", "COMPLETED", "NOT STARTED")</f>
        <v/>
      </c>
      <c r="U445" s="9" t="inlineStr">
        <is>
          <t>Review Notes for Day 89</t>
        </is>
      </c>
    </row>
    <row r="446">
      <c r="A446" s="10" t="n">
        <v>89</v>
      </c>
      <c r="B446" s="10" t="inlineStr">
        <is>
          <t>2026-11-27</t>
        </is>
      </c>
      <c r="C446" s="10" t="n">
        <v>13</v>
      </c>
      <c r="D446" s="10" t="n">
        <v>3</v>
      </c>
      <c r="E446" s="9" t="inlineStr">
        <is>
          <t>Month 4</t>
        </is>
      </c>
      <c r="F446" s="9" t="inlineStr">
        <is>
          <t>Docker</t>
        </is>
      </c>
      <c r="G446" s="9" t="inlineStr">
        <is>
          <t>Containerization</t>
        </is>
      </c>
      <c r="H446" s="9" t="inlineStr">
        <is>
          <t>Docker concept</t>
        </is>
      </c>
      <c r="I446" s="9" t="inlineStr">
        <is>
          <t>Master Docker concept</t>
        </is>
      </c>
      <c r="J446" s="9" t="inlineStr">
        <is>
          <t>30 min</t>
        </is>
      </c>
      <c r="K446" s="9" t="inlineStr">
        <is>
          <t>30 min</t>
        </is>
      </c>
      <c r="L446" s="9" t="inlineStr">
        <is>
          <t>Code/Implement Docker concept</t>
        </is>
      </c>
      <c r="M446" s="9" t="inlineStr">
        <is>
          <t>15 min</t>
        </is>
      </c>
      <c r="N446" s="9" t="inlineStr">
        <is>
          <t>How does Docker concept solve deployment issues?</t>
        </is>
      </c>
      <c r="O446" s="9" t="inlineStr">
        <is>
          <t>15 min</t>
        </is>
      </c>
      <c r="P446" s="9" t="inlineStr">
        <is>
          <t>Explain the difference between Image and Docker concept.</t>
        </is>
      </c>
      <c r="Q446" s="9" t="inlineStr">
        <is>
          <t>Build/Refine code</t>
        </is>
      </c>
      <c r="R446" s="9" t="inlineStr">
        <is>
          <t>-</t>
        </is>
      </c>
      <c r="S446" s="10" t="inlineStr">
        <is>
          <t>☐ Not Started</t>
        </is>
      </c>
      <c r="T446" s="10">
        <f>IF(S446="☑ Completed", "COMPLETED", "NOT STARTED")</f>
        <v/>
      </c>
      <c r="U446" s="9" t="inlineStr">
        <is>
          <t>Review Notes for Day 89</t>
        </is>
      </c>
    </row>
    <row r="447">
      <c r="A447" s="10" t="n">
        <v>90</v>
      </c>
      <c r="B447" s="10" t="inlineStr">
        <is>
          <t>2026-11-28</t>
        </is>
      </c>
      <c r="C447" s="10" t="n">
        <v>13</v>
      </c>
      <c r="D447" s="10" t="n">
        <v>3</v>
      </c>
      <c r="E447" s="9" t="inlineStr">
        <is>
          <t>Month 4</t>
        </is>
      </c>
      <c r="F447" s="9" t="inlineStr">
        <is>
          <t>Docker</t>
        </is>
      </c>
      <c r="G447" s="9" t="inlineStr">
        <is>
          <t>Containerization</t>
        </is>
      </c>
      <c r="H447" s="9" t="inlineStr">
        <is>
          <t>Image</t>
        </is>
      </c>
      <c r="I447" s="9" t="inlineStr">
        <is>
          <t>Master Image</t>
        </is>
      </c>
      <c r="J447" s="9" t="inlineStr">
        <is>
          <t>45 min</t>
        </is>
      </c>
      <c r="K447" s="9" t="inlineStr">
        <is>
          <t>45 min</t>
        </is>
      </c>
      <c r="L447" s="9" t="inlineStr">
        <is>
          <t>Code/Implement Image</t>
        </is>
      </c>
      <c r="M447" s="9" t="inlineStr">
        <is>
          <t>15 min</t>
        </is>
      </c>
      <c r="N447" s="9" t="inlineStr">
        <is>
          <t>How does Image solve deployment issues?</t>
        </is>
      </c>
      <c r="O447" s="9" t="inlineStr">
        <is>
          <t>15 min</t>
        </is>
      </c>
      <c r="P447" s="9" t="inlineStr">
        <is>
          <t>Explain the difference between Image and Image.</t>
        </is>
      </c>
      <c r="Q447" s="9" t="inlineStr">
        <is>
          <t>Build/Refine code</t>
        </is>
      </c>
      <c r="R447" s="9" t="n">
        <v>15</v>
      </c>
      <c r="S447" s="10" t="inlineStr">
        <is>
          <t>☐ Not Started</t>
        </is>
      </c>
      <c r="T447" s="10">
        <f>IF(S447="☑ Completed", "COMPLETED", "NOT STARTED")</f>
        <v/>
      </c>
      <c r="U447" s="9" t="inlineStr">
        <is>
          <t>Review Notes for Day 90</t>
        </is>
      </c>
    </row>
    <row r="448">
      <c r="A448" s="10" t="n">
        <v>90</v>
      </c>
      <c r="B448" s="10" t="inlineStr">
        <is>
          <t>2026-11-28</t>
        </is>
      </c>
      <c r="C448" s="10" t="n">
        <v>13</v>
      </c>
      <c r="D448" s="10" t="n">
        <v>3</v>
      </c>
      <c r="E448" s="9" t="inlineStr">
        <is>
          <t>Month 4</t>
        </is>
      </c>
      <c r="F448" s="9" t="inlineStr">
        <is>
          <t>Docker</t>
        </is>
      </c>
      <c r="G448" s="9" t="inlineStr">
        <is>
          <t>Containerization</t>
        </is>
      </c>
      <c r="H448" s="9" t="inlineStr">
        <is>
          <t>Container</t>
        </is>
      </c>
      <c r="I448" s="9" t="inlineStr">
        <is>
          <t>Master Container</t>
        </is>
      </c>
      <c r="J448" s="9" t="inlineStr">
        <is>
          <t>30 min</t>
        </is>
      </c>
      <c r="K448" s="9" t="inlineStr">
        <is>
          <t>30 min</t>
        </is>
      </c>
      <c r="L448" s="9" t="inlineStr">
        <is>
          <t>Code/Implement Container</t>
        </is>
      </c>
      <c r="M448" s="9" t="inlineStr">
        <is>
          <t>15 min</t>
        </is>
      </c>
      <c r="N448" s="9" t="inlineStr">
        <is>
          <t>How does Container solve deployment issues?</t>
        </is>
      </c>
      <c r="O448" s="9" t="inlineStr">
        <is>
          <t>15 min</t>
        </is>
      </c>
      <c r="P448" s="9" t="inlineStr">
        <is>
          <t>Explain the difference between Image and Container.</t>
        </is>
      </c>
      <c r="Q448" s="9" t="inlineStr">
        <is>
          <t>Build/Refine code</t>
        </is>
      </c>
      <c r="R448" s="9" t="inlineStr">
        <is>
          <t>-</t>
        </is>
      </c>
      <c r="S448" s="10" t="inlineStr">
        <is>
          <t>☐ Not Started</t>
        </is>
      </c>
      <c r="T448" s="10">
        <f>IF(S448="☑ Completed", "COMPLETED", "NOT STARTED")</f>
        <v/>
      </c>
      <c r="U448" s="9" t="inlineStr">
        <is>
          <t>Review Notes for Day 90</t>
        </is>
      </c>
    </row>
    <row r="449">
      <c r="A449" s="10" t="n">
        <v>90</v>
      </c>
      <c r="B449" s="10" t="inlineStr">
        <is>
          <t>2026-11-28</t>
        </is>
      </c>
      <c r="C449" s="10" t="n">
        <v>13</v>
      </c>
      <c r="D449" s="10" t="n">
        <v>3</v>
      </c>
      <c r="E449" s="9" t="inlineStr">
        <is>
          <t>Month 4</t>
        </is>
      </c>
      <c r="F449" s="9" t="inlineStr">
        <is>
          <t>Docker</t>
        </is>
      </c>
      <c r="G449" s="9" t="inlineStr">
        <is>
          <t>Containerization</t>
        </is>
      </c>
      <c r="H449" s="9" t="inlineStr">
        <is>
          <t>Dockerfile</t>
        </is>
      </c>
      <c r="I449" s="9" t="inlineStr">
        <is>
          <t>Master Dockerfile</t>
        </is>
      </c>
      <c r="J449" s="9" t="inlineStr">
        <is>
          <t>30 min</t>
        </is>
      </c>
      <c r="K449" s="9" t="inlineStr">
        <is>
          <t>30 min</t>
        </is>
      </c>
      <c r="L449" s="9" t="inlineStr">
        <is>
          <t>Code/Implement Dockerfile</t>
        </is>
      </c>
      <c r="M449" s="9" t="inlineStr">
        <is>
          <t>15 min</t>
        </is>
      </c>
      <c r="N449" s="9" t="inlineStr">
        <is>
          <t>How does Dockerfile solve deployment issues?</t>
        </is>
      </c>
      <c r="O449" s="9" t="inlineStr">
        <is>
          <t>15 min</t>
        </is>
      </c>
      <c r="P449" s="9" t="inlineStr">
        <is>
          <t>Explain the difference between Image and Dockerfile.</t>
        </is>
      </c>
      <c r="Q449" s="9" t="inlineStr">
        <is>
          <t>Build/Refine code</t>
        </is>
      </c>
      <c r="R449" s="9" t="inlineStr">
        <is>
          <t>-</t>
        </is>
      </c>
      <c r="S449" s="10" t="inlineStr">
        <is>
          <t>☐ Not Started</t>
        </is>
      </c>
      <c r="T449" s="10">
        <f>IF(S449="☑ Completed", "COMPLETED", "NOT STARTED")</f>
        <v/>
      </c>
      <c r="U449" s="9" t="inlineStr">
        <is>
          <t>Review Notes for Day 90</t>
        </is>
      </c>
    </row>
    <row r="450">
      <c r="A450" s="10" t="n">
        <v>90</v>
      </c>
      <c r="B450" s="10" t="inlineStr">
        <is>
          <t>2026-11-28</t>
        </is>
      </c>
      <c r="C450" s="10" t="n">
        <v>13</v>
      </c>
      <c r="D450" s="10" t="n">
        <v>3</v>
      </c>
      <c r="E450" s="9" t="inlineStr">
        <is>
          <t>Month 4</t>
        </is>
      </c>
      <c r="F450" s="9" t="inlineStr">
        <is>
          <t>Docker</t>
        </is>
      </c>
      <c r="G450" s="9" t="inlineStr">
        <is>
          <t>Containerization</t>
        </is>
      </c>
      <c r="H450" s="9" t="inlineStr">
        <is>
          <t>Ports</t>
        </is>
      </c>
      <c r="I450" s="9" t="inlineStr">
        <is>
          <t>Master Ports</t>
        </is>
      </c>
      <c r="J450" s="9" t="inlineStr">
        <is>
          <t>30 min</t>
        </is>
      </c>
      <c r="K450" s="9" t="inlineStr">
        <is>
          <t>30 min</t>
        </is>
      </c>
      <c r="L450" s="9" t="inlineStr">
        <is>
          <t>Code/Implement Ports</t>
        </is>
      </c>
      <c r="M450" s="9" t="inlineStr">
        <is>
          <t>15 min</t>
        </is>
      </c>
      <c r="N450" s="9" t="inlineStr">
        <is>
          <t>How does Ports solve deployment issues?</t>
        </is>
      </c>
      <c r="O450" s="9" t="inlineStr">
        <is>
          <t>15 min</t>
        </is>
      </c>
      <c r="P450" s="9" t="inlineStr">
        <is>
          <t>Explain the difference between Image and Ports.</t>
        </is>
      </c>
      <c r="Q450" s="9" t="inlineStr">
        <is>
          <t>Build/Refine code</t>
        </is>
      </c>
      <c r="R450" s="9" t="inlineStr">
        <is>
          <t>-</t>
        </is>
      </c>
      <c r="S450" s="10" t="inlineStr">
        <is>
          <t>☐ Not Started</t>
        </is>
      </c>
      <c r="T450" s="10">
        <f>IF(S450="☑ Completed", "COMPLETED", "NOT STARTED")</f>
        <v/>
      </c>
      <c r="U450" s="9" t="inlineStr">
        <is>
          <t>Review Notes for Day 90</t>
        </is>
      </c>
    </row>
    <row r="451">
      <c r="A451" s="10" t="n">
        <v>90</v>
      </c>
      <c r="B451" s="10" t="inlineStr">
        <is>
          <t>2026-11-28</t>
        </is>
      </c>
      <c r="C451" s="10" t="n">
        <v>13</v>
      </c>
      <c r="D451" s="10" t="n">
        <v>3</v>
      </c>
      <c r="E451" s="9" t="inlineStr">
        <is>
          <t>Month 4</t>
        </is>
      </c>
      <c r="F451" s="9" t="inlineStr">
        <is>
          <t>Docker</t>
        </is>
      </c>
      <c r="G451" s="9" t="inlineStr">
        <is>
          <t>Containerization</t>
        </is>
      </c>
      <c r="H451" s="9" t="inlineStr">
        <is>
          <t>Environment variables</t>
        </is>
      </c>
      <c r="I451" s="9" t="inlineStr">
        <is>
          <t>Master Environment variables</t>
        </is>
      </c>
      <c r="J451" s="9" t="inlineStr">
        <is>
          <t>30 min</t>
        </is>
      </c>
      <c r="K451" s="9" t="inlineStr">
        <is>
          <t>30 min</t>
        </is>
      </c>
      <c r="L451" s="9" t="inlineStr">
        <is>
          <t>Code/Implement Environment variables</t>
        </is>
      </c>
      <c r="M451" s="9" t="inlineStr">
        <is>
          <t>15 min</t>
        </is>
      </c>
      <c r="N451" s="9" t="inlineStr">
        <is>
          <t>How does Environment variables solve deployment issues?</t>
        </is>
      </c>
      <c r="O451" s="9" t="inlineStr">
        <is>
          <t>15 min</t>
        </is>
      </c>
      <c r="P451" s="9" t="inlineStr">
        <is>
          <t>Explain the difference between Image and Environment variables.</t>
        </is>
      </c>
      <c r="Q451" s="9" t="inlineStr">
        <is>
          <t>Build/Refine code</t>
        </is>
      </c>
      <c r="R451" s="9" t="inlineStr">
        <is>
          <t>-</t>
        </is>
      </c>
      <c r="S451" s="10" t="inlineStr">
        <is>
          <t>☐ Not Started</t>
        </is>
      </c>
      <c r="T451" s="10">
        <f>IF(S451="☑ Completed", "COMPLETED", "NOT STARTED")</f>
        <v/>
      </c>
      <c r="U451" s="9" t="inlineStr">
        <is>
          <t>Review Notes for Day 90</t>
        </is>
      </c>
    </row>
    <row r="452">
      <c r="A452" s="10" t="n">
        <v>91</v>
      </c>
      <c r="B452" s="10" t="inlineStr">
        <is>
          <t>2026-11-29</t>
        </is>
      </c>
      <c r="C452" s="10" t="n">
        <v>13</v>
      </c>
      <c r="D452" s="10" t="n">
        <v>4</v>
      </c>
      <c r="E452" s="9" t="inlineStr">
        <is>
          <t>Month 4</t>
        </is>
      </c>
      <c r="F452" s="9" t="inlineStr">
        <is>
          <t>Docker</t>
        </is>
      </c>
      <c r="G452" s="9" t="inlineStr">
        <is>
          <t>Containerization</t>
        </is>
      </c>
      <c r="H452" s="9" t="inlineStr">
        <is>
          <t>requirements</t>
        </is>
      </c>
      <c r="I452" s="9" t="inlineStr">
        <is>
          <t>Master requirements</t>
        </is>
      </c>
      <c r="J452" s="9" t="inlineStr">
        <is>
          <t>45 min</t>
        </is>
      </c>
      <c r="K452" s="9" t="inlineStr">
        <is>
          <t>45 min</t>
        </is>
      </c>
      <c r="L452" s="9" t="inlineStr">
        <is>
          <t>Code/Implement requirements</t>
        </is>
      </c>
      <c r="M452" s="9" t="inlineStr">
        <is>
          <t>15 min</t>
        </is>
      </c>
      <c r="N452" s="9" t="inlineStr">
        <is>
          <t>How does requirements solve deployment issues?</t>
        </is>
      </c>
      <c r="O452" s="9" t="inlineStr">
        <is>
          <t>15 min</t>
        </is>
      </c>
      <c r="P452" s="9" t="inlineStr">
        <is>
          <t>Explain the difference between Image and requirements.</t>
        </is>
      </c>
      <c r="Q452" s="9" t="inlineStr">
        <is>
          <t>Build/Refine code</t>
        </is>
      </c>
      <c r="R452" s="9" t="n">
        <v>20</v>
      </c>
      <c r="S452" s="10" t="inlineStr">
        <is>
          <t>☐ Not Started</t>
        </is>
      </c>
      <c r="T452" s="10">
        <f>IF(S452="☑ Completed", "COMPLETED", "NOT STARTED")</f>
        <v/>
      </c>
      <c r="U452" s="9" t="inlineStr">
        <is>
          <t>Review Notes for Day 91</t>
        </is>
      </c>
    </row>
    <row r="453">
      <c r="A453" s="10" t="n">
        <v>91</v>
      </c>
      <c r="B453" s="10" t="inlineStr">
        <is>
          <t>2026-11-29</t>
        </is>
      </c>
      <c r="C453" s="10" t="n">
        <v>13</v>
      </c>
      <c r="D453" s="10" t="n">
        <v>4</v>
      </c>
      <c r="E453" s="9" t="inlineStr">
        <is>
          <t>Month 4</t>
        </is>
      </c>
      <c r="F453" s="9" t="inlineStr">
        <is>
          <t>Deployment</t>
        </is>
      </c>
      <c r="G453" s="9" t="inlineStr">
        <is>
          <t>Cloud</t>
        </is>
      </c>
      <c r="H453" s="9" t="inlineStr">
        <is>
          <t>Streamlit deployment</t>
        </is>
      </c>
      <c r="I453" s="9" t="inlineStr">
        <is>
          <t>Master Streamlit deployment</t>
        </is>
      </c>
      <c r="J453" s="9" t="inlineStr">
        <is>
          <t>30 min</t>
        </is>
      </c>
      <c r="K453" s="9" t="inlineStr">
        <is>
          <t>30 min</t>
        </is>
      </c>
      <c r="L453" s="9" t="inlineStr">
        <is>
          <t>Code/Implement Streamlit deployment</t>
        </is>
      </c>
      <c r="M453" s="9" t="inlineStr">
        <is>
          <t>15 min</t>
        </is>
      </c>
      <c r="N453" s="9" t="inlineStr">
        <is>
          <t>What are the security concerns with Streamlit deployment?</t>
        </is>
      </c>
      <c r="O453" s="9" t="inlineStr">
        <is>
          <t>15 min</t>
        </is>
      </c>
      <c r="P453" s="9" t="inlineStr">
        <is>
          <t>Describe how you deploy Streamlit deployment to production.</t>
        </is>
      </c>
      <c r="Q453" s="9" t="inlineStr">
        <is>
          <t>Build/Refine code</t>
        </is>
      </c>
      <c r="R453" s="9" t="inlineStr">
        <is>
          <t>-</t>
        </is>
      </c>
      <c r="S453" s="10" t="inlineStr">
        <is>
          <t>☐ Not Started</t>
        </is>
      </c>
      <c r="T453" s="10">
        <f>IF(S453="☑ Completed", "COMPLETED", "NOT STARTED")</f>
        <v/>
      </c>
      <c r="U453" s="9" t="inlineStr">
        <is>
          <t>Review Notes for Day 91</t>
        </is>
      </c>
    </row>
    <row r="454">
      <c r="A454" s="10" t="n">
        <v>91</v>
      </c>
      <c r="B454" s="10" t="inlineStr">
        <is>
          <t>2026-11-29</t>
        </is>
      </c>
      <c r="C454" s="10" t="n">
        <v>13</v>
      </c>
      <c r="D454" s="10" t="n">
        <v>4</v>
      </c>
      <c r="E454" s="9" t="inlineStr">
        <is>
          <t>Month 4</t>
        </is>
      </c>
      <c r="F454" s="9" t="inlineStr">
        <is>
          <t>Deployment</t>
        </is>
      </c>
      <c r="G454" s="9" t="inlineStr">
        <is>
          <t>Cloud</t>
        </is>
      </c>
      <c r="H454" s="9" t="inlineStr">
        <is>
          <t>API deployment concept</t>
        </is>
      </c>
      <c r="I454" s="9" t="inlineStr">
        <is>
          <t>Master API deployment concept</t>
        </is>
      </c>
      <c r="J454" s="9" t="inlineStr">
        <is>
          <t>30 min</t>
        </is>
      </c>
      <c r="K454" s="9" t="inlineStr">
        <is>
          <t>30 min</t>
        </is>
      </c>
      <c r="L454" s="9" t="inlineStr">
        <is>
          <t>Code/Implement API deployment concept</t>
        </is>
      </c>
      <c r="M454" s="9" t="inlineStr">
        <is>
          <t>15 min</t>
        </is>
      </c>
      <c r="N454" s="9" t="inlineStr">
        <is>
          <t>What are the security concerns with API deployment concept?</t>
        </is>
      </c>
      <c r="O454" s="9" t="inlineStr">
        <is>
          <t>15 min</t>
        </is>
      </c>
      <c r="P454" s="9" t="inlineStr">
        <is>
          <t>Describe how you deploy API deployment concept to production.</t>
        </is>
      </c>
      <c r="Q454" s="9" t="inlineStr">
        <is>
          <t>Build/Refine code</t>
        </is>
      </c>
      <c r="R454" s="9" t="inlineStr">
        <is>
          <t>-</t>
        </is>
      </c>
      <c r="S454" s="10" t="inlineStr">
        <is>
          <t>☐ Not Started</t>
        </is>
      </c>
      <c r="T454" s="10">
        <f>IF(S454="☑ Completed", "COMPLETED", "NOT STARTED")</f>
        <v/>
      </c>
      <c r="U454" s="9" t="inlineStr">
        <is>
          <t>Review Notes for Day 91</t>
        </is>
      </c>
    </row>
    <row r="455">
      <c r="A455" s="10" t="n">
        <v>91</v>
      </c>
      <c r="B455" s="10" t="inlineStr">
        <is>
          <t>2026-11-29</t>
        </is>
      </c>
      <c r="C455" s="10" t="n">
        <v>13</v>
      </c>
      <c r="D455" s="10" t="n">
        <v>4</v>
      </c>
      <c r="E455" s="9" t="inlineStr">
        <is>
          <t>Month 4</t>
        </is>
      </c>
      <c r="F455" s="9" t="inlineStr">
        <is>
          <t>Deployment</t>
        </is>
      </c>
      <c r="G455" s="9" t="inlineStr">
        <is>
          <t>Cloud</t>
        </is>
      </c>
      <c r="H455" s="9" t="inlineStr">
        <is>
          <t>Environment variables</t>
        </is>
      </c>
      <c r="I455" s="9" t="inlineStr">
        <is>
          <t>Master Environment variables</t>
        </is>
      </c>
      <c r="J455" s="9" t="inlineStr">
        <is>
          <t>30 min</t>
        </is>
      </c>
      <c r="K455" s="9" t="inlineStr">
        <is>
          <t>30 min</t>
        </is>
      </c>
      <c r="L455" s="9" t="inlineStr">
        <is>
          <t>Code/Implement Environment variables</t>
        </is>
      </c>
      <c r="M455" s="9" t="inlineStr">
        <is>
          <t>15 min</t>
        </is>
      </c>
      <c r="N455" s="9" t="inlineStr">
        <is>
          <t>What are the security concerns with Environment variables?</t>
        </is>
      </c>
      <c r="O455" s="9" t="inlineStr">
        <is>
          <t>15 min</t>
        </is>
      </c>
      <c r="P455" s="9" t="inlineStr">
        <is>
          <t>Describe how you deploy Environment variables to production.</t>
        </is>
      </c>
      <c r="Q455" s="9" t="inlineStr">
        <is>
          <t>Build/Refine code</t>
        </is>
      </c>
      <c r="R455" s="9" t="inlineStr">
        <is>
          <t>-</t>
        </is>
      </c>
      <c r="S455" s="10" t="inlineStr">
        <is>
          <t>☐ Not Started</t>
        </is>
      </c>
      <c r="T455" s="10">
        <f>IF(S455="☑ Completed", "COMPLETED", "NOT STARTED")</f>
        <v/>
      </c>
      <c r="U455" s="9" t="inlineStr">
        <is>
          <t>Review Notes for Day 91</t>
        </is>
      </c>
    </row>
    <row r="456">
      <c r="A456" s="10" t="n">
        <v>91</v>
      </c>
      <c r="B456" s="10" t="inlineStr">
        <is>
          <t>2026-11-29</t>
        </is>
      </c>
      <c r="C456" s="10" t="n">
        <v>13</v>
      </c>
      <c r="D456" s="10" t="n">
        <v>4</v>
      </c>
      <c r="E456" s="9" t="inlineStr">
        <is>
          <t>Month 4</t>
        </is>
      </c>
      <c r="F456" s="9" t="inlineStr">
        <is>
          <t>Deployment</t>
        </is>
      </c>
      <c r="G456" s="9" t="inlineStr">
        <is>
          <t>Cloud</t>
        </is>
      </c>
      <c r="H456" s="9" t="inlineStr">
        <is>
          <t>Basic cloud concepts</t>
        </is>
      </c>
      <c r="I456" s="9" t="inlineStr">
        <is>
          <t>Master Basic cloud concepts</t>
        </is>
      </c>
      <c r="J456" s="9" t="inlineStr">
        <is>
          <t>30 min</t>
        </is>
      </c>
      <c r="K456" s="9" t="inlineStr">
        <is>
          <t>30 min</t>
        </is>
      </c>
      <c r="L456" s="9" t="inlineStr">
        <is>
          <t>Code/Implement Basic cloud concepts</t>
        </is>
      </c>
      <c r="M456" s="9" t="inlineStr">
        <is>
          <t>15 min</t>
        </is>
      </c>
      <c r="N456" s="9" t="inlineStr">
        <is>
          <t>What are the security concerns with Basic cloud concepts?</t>
        </is>
      </c>
      <c r="O456" s="9" t="inlineStr">
        <is>
          <t>15 min</t>
        </is>
      </c>
      <c r="P456" s="9" t="inlineStr">
        <is>
          <t>Describe how you deploy Basic cloud concepts to production.</t>
        </is>
      </c>
      <c r="Q456" s="9" t="inlineStr">
        <is>
          <t>Build/Refine code</t>
        </is>
      </c>
      <c r="R456" s="9" t="inlineStr">
        <is>
          <t>-</t>
        </is>
      </c>
      <c r="S456" s="10" t="inlineStr">
        <is>
          <t>☐ Not Started</t>
        </is>
      </c>
      <c r="T456" s="10">
        <f>IF(S456="☑ Completed", "COMPLETED", "NOT STARTED")</f>
        <v/>
      </c>
      <c r="U456" s="9" t="inlineStr">
        <is>
          <t>Review Notes for Day 91</t>
        </is>
      </c>
    </row>
    <row r="457">
      <c r="A457" s="10" t="n">
        <v>92</v>
      </c>
      <c r="B457" s="10" t="inlineStr">
        <is>
          <t>2026-11-30</t>
        </is>
      </c>
      <c r="C457" s="10" t="n">
        <v>14</v>
      </c>
      <c r="D457" s="10" t="n">
        <v>4</v>
      </c>
      <c r="E457" s="9" t="inlineStr">
        <is>
          <t>Month 4</t>
        </is>
      </c>
      <c r="F457" s="9" t="inlineStr">
        <is>
          <t>Project</t>
        </is>
      </c>
      <c r="G457" s="9" t="inlineStr">
        <is>
          <t>Resume Analyzer</t>
        </is>
      </c>
      <c r="H457" s="9" t="inlineStr">
        <is>
          <t>Project architecture</t>
        </is>
      </c>
      <c r="I457" s="9" t="inlineStr">
        <is>
          <t>Master Project architecture</t>
        </is>
      </c>
      <c r="J457" s="9" t="inlineStr">
        <is>
          <t>45 min</t>
        </is>
      </c>
      <c r="K457" s="9" t="inlineStr">
        <is>
          <t>45 min</t>
        </is>
      </c>
      <c r="L457" s="9" t="inlineStr">
        <is>
          <t>Code/Implement Project architecture</t>
        </is>
      </c>
      <c r="M457" s="9" t="inlineStr">
        <is>
          <t>15 min</t>
        </is>
      </c>
      <c r="N457" s="9" t="inlineStr">
        <is>
          <t>How did you ensure accuracy in Project architecture?</t>
        </is>
      </c>
      <c r="O457" s="9" t="inlineStr">
        <is>
          <t>15 min</t>
        </is>
      </c>
      <c r="P457" s="9" t="inlineStr">
        <is>
          <t>Pitch the Project architecture feature of your Resume Analyzer.</t>
        </is>
      </c>
      <c r="Q457" s="9" t="inlineStr">
        <is>
          <t>Build/Refine code</t>
        </is>
      </c>
      <c r="R457" s="9" t="n">
        <v>20</v>
      </c>
      <c r="S457" s="10" t="inlineStr">
        <is>
          <t>☐ Not Started</t>
        </is>
      </c>
      <c r="T457" s="10">
        <f>IF(S457="☑ Completed", "COMPLETED", "NOT STARTED")</f>
        <v/>
      </c>
      <c r="U457" s="9" t="inlineStr">
        <is>
          <t>Review Notes for Day 92</t>
        </is>
      </c>
    </row>
    <row r="458">
      <c r="A458" s="10" t="n">
        <v>92</v>
      </c>
      <c r="B458" s="10" t="inlineStr">
        <is>
          <t>2026-11-30</t>
        </is>
      </c>
      <c r="C458" s="10" t="n">
        <v>14</v>
      </c>
      <c r="D458" s="10" t="n">
        <v>4</v>
      </c>
      <c r="E458" s="9" t="inlineStr">
        <is>
          <t>Month 4</t>
        </is>
      </c>
      <c r="F458" s="9" t="inlineStr">
        <is>
          <t>Project</t>
        </is>
      </c>
      <c r="G458" s="9" t="inlineStr">
        <is>
          <t>Resume Analyzer</t>
        </is>
      </c>
      <c r="H458" s="9" t="inlineStr">
        <is>
          <t>PDF upload</t>
        </is>
      </c>
      <c r="I458" s="9" t="inlineStr">
        <is>
          <t>Master PDF upload</t>
        </is>
      </c>
      <c r="J458" s="9" t="inlineStr">
        <is>
          <t>30 min</t>
        </is>
      </c>
      <c r="K458" s="9" t="inlineStr">
        <is>
          <t>30 min</t>
        </is>
      </c>
      <c r="L458" s="9" t="inlineStr">
        <is>
          <t>Code/Implement PDF upload</t>
        </is>
      </c>
      <c r="M458" s="9" t="inlineStr">
        <is>
          <t>15 min</t>
        </is>
      </c>
      <c r="N458" s="9" t="inlineStr">
        <is>
          <t>How did you ensure accuracy in PDF upload?</t>
        </is>
      </c>
      <c r="O458" s="9" t="inlineStr">
        <is>
          <t>15 min</t>
        </is>
      </c>
      <c r="P458" s="9" t="inlineStr">
        <is>
          <t>Pitch the PDF upload feature of your Resume Analyzer.</t>
        </is>
      </c>
      <c r="Q458" s="9" t="inlineStr">
        <is>
          <t>Build/Refine code</t>
        </is>
      </c>
      <c r="R458" s="9" t="inlineStr">
        <is>
          <t>-</t>
        </is>
      </c>
      <c r="S458" s="10" t="inlineStr">
        <is>
          <t>☐ Not Started</t>
        </is>
      </c>
      <c r="T458" s="10">
        <f>IF(S458="☑ Completed", "COMPLETED", "NOT STARTED")</f>
        <v/>
      </c>
      <c r="U458" s="9" t="inlineStr">
        <is>
          <t>Review Notes for Day 92</t>
        </is>
      </c>
    </row>
    <row r="459">
      <c r="A459" s="10" t="n">
        <v>92</v>
      </c>
      <c r="B459" s="10" t="inlineStr">
        <is>
          <t>2026-11-30</t>
        </is>
      </c>
      <c r="C459" s="10" t="n">
        <v>14</v>
      </c>
      <c r="D459" s="10" t="n">
        <v>4</v>
      </c>
      <c r="E459" s="9" t="inlineStr">
        <is>
          <t>Month 4</t>
        </is>
      </c>
      <c r="F459" s="9" t="inlineStr">
        <is>
          <t>Project</t>
        </is>
      </c>
      <c r="G459" s="9" t="inlineStr">
        <is>
          <t>Resume Analyzer</t>
        </is>
      </c>
      <c r="H459" s="9" t="inlineStr">
        <is>
          <t>PDF text extraction</t>
        </is>
      </c>
      <c r="I459" s="9" t="inlineStr">
        <is>
          <t>Master PDF text extraction</t>
        </is>
      </c>
      <c r="J459" s="9" t="inlineStr">
        <is>
          <t>30 min</t>
        </is>
      </c>
      <c r="K459" s="9" t="inlineStr">
        <is>
          <t>30 min</t>
        </is>
      </c>
      <c r="L459" s="9" t="inlineStr">
        <is>
          <t>Code/Implement PDF text extraction</t>
        </is>
      </c>
      <c r="M459" s="9" t="inlineStr">
        <is>
          <t>15 min</t>
        </is>
      </c>
      <c r="N459" s="9" t="inlineStr">
        <is>
          <t>How did you ensure accuracy in PDF text extraction?</t>
        </is>
      </c>
      <c r="O459" s="9" t="inlineStr">
        <is>
          <t>15 min</t>
        </is>
      </c>
      <c r="P459" s="9" t="inlineStr">
        <is>
          <t>Pitch the PDF text extraction feature of your Resume Analyzer.</t>
        </is>
      </c>
      <c r="Q459" s="9" t="inlineStr">
        <is>
          <t>Build/Refine code</t>
        </is>
      </c>
      <c r="R459" s="9" t="inlineStr">
        <is>
          <t>-</t>
        </is>
      </c>
      <c r="S459" s="10" t="inlineStr">
        <is>
          <t>☐ Not Started</t>
        </is>
      </c>
      <c r="T459" s="10">
        <f>IF(S459="☑ Completed", "COMPLETED", "NOT STARTED")</f>
        <v/>
      </c>
      <c r="U459" s="9" t="inlineStr">
        <is>
          <t>Review Notes for Day 92</t>
        </is>
      </c>
    </row>
    <row r="460">
      <c r="A460" s="10" t="n">
        <v>92</v>
      </c>
      <c r="B460" s="10" t="inlineStr">
        <is>
          <t>2026-11-30</t>
        </is>
      </c>
      <c r="C460" s="10" t="n">
        <v>14</v>
      </c>
      <c r="D460" s="10" t="n">
        <v>4</v>
      </c>
      <c r="E460" s="9" t="inlineStr">
        <is>
          <t>Month 4</t>
        </is>
      </c>
      <c r="F460" s="9" t="inlineStr">
        <is>
          <t>Project</t>
        </is>
      </c>
      <c r="G460" s="9" t="inlineStr">
        <is>
          <t>Resume Analyzer</t>
        </is>
      </c>
      <c r="H460" s="9" t="inlineStr">
        <is>
          <t>Resume cleaning</t>
        </is>
      </c>
      <c r="I460" s="9" t="inlineStr">
        <is>
          <t>Master Resume cleaning</t>
        </is>
      </c>
      <c r="J460" s="9" t="inlineStr">
        <is>
          <t>30 min</t>
        </is>
      </c>
      <c r="K460" s="9" t="inlineStr">
        <is>
          <t>30 min</t>
        </is>
      </c>
      <c r="L460" s="9" t="inlineStr">
        <is>
          <t>Code/Implement Resume cleaning</t>
        </is>
      </c>
      <c r="M460" s="9" t="inlineStr">
        <is>
          <t>15 min</t>
        </is>
      </c>
      <c r="N460" s="9" t="inlineStr">
        <is>
          <t>How did you ensure accuracy in Resume cleaning?</t>
        </is>
      </c>
      <c r="O460" s="9" t="inlineStr">
        <is>
          <t>15 min</t>
        </is>
      </c>
      <c r="P460" s="9" t="inlineStr">
        <is>
          <t>Pitch the Resume cleaning feature of your Resume Analyzer.</t>
        </is>
      </c>
      <c r="Q460" s="9" t="inlineStr">
        <is>
          <t>Build/Refine code</t>
        </is>
      </c>
      <c r="R460" s="9" t="inlineStr">
        <is>
          <t>-</t>
        </is>
      </c>
      <c r="S460" s="10" t="inlineStr">
        <is>
          <t>☐ Not Started</t>
        </is>
      </c>
      <c r="T460" s="10">
        <f>IF(S460="☑ Completed", "COMPLETED", "NOT STARTED")</f>
        <v/>
      </c>
      <c r="U460" s="9" t="inlineStr">
        <is>
          <t>Review Notes for Day 92</t>
        </is>
      </c>
    </row>
    <row r="461">
      <c r="A461" s="10" t="n">
        <v>92</v>
      </c>
      <c r="B461" s="10" t="inlineStr">
        <is>
          <t>2026-11-30</t>
        </is>
      </c>
      <c r="C461" s="10" t="n">
        <v>14</v>
      </c>
      <c r="D461" s="10" t="n">
        <v>4</v>
      </c>
      <c r="E461" s="9" t="inlineStr">
        <is>
          <t>Month 4</t>
        </is>
      </c>
      <c r="F461" s="9" t="inlineStr">
        <is>
          <t>Project</t>
        </is>
      </c>
      <c r="G461" s="9" t="inlineStr">
        <is>
          <t>Resume Analyzer</t>
        </is>
      </c>
      <c r="H461" s="9" t="inlineStr">
        <is>
          <t>LLM integration</t>
        </is>
      </c>
      <c r="I461" s="9" t="inlineStr">
        <is>
          <t>Master LLM integration</t>
        </is>
      </c>
      <c r="J461" s="9" t="inlineStr">
        <is>
          <t>30 min</t>
        </is>
      </c>
      <c r="K461" s="9" t="inlineStr">
        <is>
          <t>30 min</t>
        </is>
      </c>
      <c r="L461" s="9" t="inlineStr">
        <is>
          <t>Code/Implement LLM integration</t>
        </is>
      </c>
      <c r="M461" s="9" t="inlineStr">
        <is>
          <t>15 min</t>
        </is>
      </c>
      <c r="N461" s="9" t="inlineStr">
        <is>
          <t>How did you ensure accuracy in LLM integration?</t>
        </is>
      </c>
      <c r="O461" s="9" t="inlineStr">
        <is>
          <t>15 min</t>
        </is>
      </c>
      <c r="P461" s="9" t="inlineStr">
        <is>
          <t>Pitch the LLM integration feature of your Resume Analyzer.</t>
        </is>
      </c>
      <c r="Q461" s="9" t="inlineStr">
        <is>
          <t>Build/Refine code</t>
        </is>
      </c>
      <c r="R461" s="9" t="inlineStr">
        <is>
          <t>-</t>
        </is>
      </c>
      <c r="S461" s="10" t="inlineStr">
        <is>
          <t>☐ Not Started</t>
        </is>
      </c>
      <c r="T461" s="10">
        <f>IF(S461="☑ Completed", "COMPLETED", "NOT STARTED")</f>
        <v/>
      </c>
      <c r="U461" s="9" t="inlineStr">
        <is>
          <t>Review Notes for Day 92</t>
        </is>
      </c>
    </row>
    <row r="462">
      <c r="A462" s="10" t="n">
        <v>93</v>
      </c>
      <c r="B462" s="10" t="inlineStr">
        <is>
          <t>2026-12-01</t>
        </is>
      </c>
      <c r="C462" s="10" t="n">
        <v>14</v>
      </c>
      <c r="D462" s="10" t="n">
        <v>4</v>
      </c>
      <c r="E462" s="9" t="inlineStr">
        <is>
          <t>Month 4</t>
        </is>
      </c>
      <c r="F462" s="9" t="inlineStr">
        <is>
          <t>Project</t>
        </is>
      </c>
      <c r="G462" s="9" t="inlineStr">
        <is>
          <t>Resume Analyzer</t>
        </is>
      </c>
      <c r="H462" s="9" t="inlineStr">
        <is>
          <t>Prompt engineering</t>
        </is>
      </c>
      <c r="I462" s="9" t="inlineStr">
        <is>
          <t>Master Prompt engineering</t>
        </is>
      </c>
      <c r="J462" s="9" t="inlineStr">
        <is>
          <t>45 min</t>
        </is>
      </c>
      <c r="K462" s="9" t="inlineStr">
        <is>
          <t>45 min</t>
        </is>
      </c>
      <c r="L462" s="9" t="inlineStr">
        <is>
          <t>Code/Implement Prompt engineering</t>
        </is>
      </c>
      <c r="M462" s="9" t="inlineStr">
        <is>
          <t>15 min</t>
        </is>
      </c>
      <c r="N462" s="9" t="inlineStr">
        <is>
          <t>How did you ensure accuracy in Prompt engineering?</t>
        </is>
      </c>
      <c r="O462" s="9" t="inlineStr">
        <is>
          <t>15 min</t>
        </is>
      </c>
      <c r="P462" s="9" t="inlineStr">
        <is>
          <t>Pitch the Prompt engineering feature of your Resume Analyzer.</t>
        </is>
      </c>
      <c r="Q462" s="9" t="inlineStr">
        <is>
          <t>Build/Refine code</t>
        </is>
      </c>
      <c r="R462" s="9" t="n">
        <v>20</v>
      </c>
      <c r="S462" s="10" t="inlineStr">
        <is>
          <t>☐ Not Started</t>
        </is>
      </c>
      <c r="T462" s="10">
        <f>IF(S462="☑ Completed", "COMPLETED", "NOT STARTED")</f>
        <v/>
      </c>
      <c r="U462" s="9" t="inlineStr">
        <is>
          <t>Review Notes for Day 93</t>
        </is>
      </c>
    </row>
    <row r="463">
      <c r="A463" s="10" t="n">
        <v>93</v>
      </c>
      <c r="B463" s="10" t="inlineStr">
        <is>
          <t>2026-12-01</t>
        </is>
      </c>
      <c r="C463" s="10" t="n">
        <v>14</v>
      </c>
      <c r="D463" s="10" t="n">
        <v>4</v>
      </c>
      <c r="E463" s="9" t="inlineStr">
        <is>
          <t>Month 4</t>
        </is>
      </c>
      <c r="F463" s="9" t="inlineStr">
        <is>
          <t>Project</t>
        </is>
      </c>
      <c r="G463" s="9" t="inlineStr">
        <is>
          <t>Resume Analyzer</t>
        </is>
      </c>
      <c r="H463" s="9" t="inlineStr">
        <is>
          <t>Structured output</t>
        </is>
      </c>
      <c r="I463" s="9" t="inlineStr">
        <is>
          <t>Master Structured output</t>
        </is>
      </c>
      <c r="J463" s="9" t="inlineStr">
        <is>
          <t>30 min</t>
        </is>
      </c>
      <c r="K463" s="9" t="inlineStr">
        <is>
          <t>30 min</t>
        </is>
      </c>
      <c r="L463" s="9" t="inlineStr">
        <is>
          <t>Code/Implement Structured output</t>
        </is>
      </c>
      <c r="M463" s="9" t="inlineStr">
        <is>
          <t>15 min</t>
        </is>
      </c>
      <c r="N463" s="9" t="inlineStr">
        <is>
          <t>How did you ensure accuracy in Structured output?</t>
        </is>
      </c>
      <c r="O463" s="9" t="inlineStr">
        <is>
          <t>15 min</t>
        </is>
      </c>
      <c r="P463" s="9" t="inlineStr">
        <is>
          <t>Pitch the Structured output feature of your Resume Analyzer.</t>
        </is>
      </c>
      <c r="Q463" s="9" t="inlineStr">
        <is>
          <t>Build/Refine code</t>
        </is>
      </c>
      <c r="R463" s="9" t="inlineStr">
        <is>
          <t>-</t>
        </is>
      </c>
      <c r="S463" s="10" t="inlineStr">
        <is>
          <t>☐ Not Started</t>
        </is>
      </c>
      <c r="T463" s="10">
        <f>IF(S463="☑ Completed", "COMPLETED", "NOT STARTED")</f>
        <v/>
      </c>
      <c r="U463" s="9" t="inlineStr">
        <is>
          <t>Review Notes for Day 93</t>
        </is>
      </c>
    </row>
    <row r="464">
      <c r="A464" s="10" t="n">
        <v>93</v>
      </c>
      <c r="B464" s="10" t="inlineStr">
        <is>
          <t>2026-12-01</t>
        </is>
      </c>
      <c r="C464" s="10" t="n">
        <v>14</v>
      </c>
      <c r="D464" s="10" t="n">
        <v>4</v>
      </c>
      <c r="E464" s="9" t="inlineStr">
        <is>
          <t>Month 4</t>
        </is>
      </c>
      <c r="F464" s="9" t="inlineStr">
        <is>
          <t>Project</t>
        </is>
      </c>
      <c r="G464" s="9" t="inlineStr">
        <is>
          <t>Resume Analyzer</t>
        </is>
      </c>
      <c r="H464" s="9" t="inlineStr">
        <is>
          <t>Skill extraction</t>
        </is>
      </c>
      <c r="I464" s="9" t="inlineStr">
        <is>
          <t>Master Skill extraction</t>
        </is>
      </c>
      <c r="J464" s="9" t="inlineStr">
        <is>
          <t>30 min</t>
        </is>
      </c>
      <c r="K464" s="9" t="inlineStr">
        <is>
          <t>30 min</t>
        </is>
      </c>
      <c r="L464" s="9" t="inlineStr">
        <is>
          <t>Code/Implement Skill extraction</t>
        </is>
      </c>
      <c r="M464" s="9" t="inlineStr">
        <is>
          <t>15 min</t>
        </is>
      </c>
      <c r="N464" s="9" t="inlineStr">
        <is>
          <t>How did you ensure accuracy in Skill extraction?</t>
        </is>
      </c>
      <c r="O464" s="9" t="inlineStr">
        <is>
          <t>15 min</t>
        </is>
      </c>
      <c r="P464" s="9" t="inlineStr">
        <is>
          <t>Pitch the Skill extraction feature of your Resume Analyzer.</t>
        </is>
      </c>
      <c r="Q464" s="9" t="inlineStr">
        <is>
          <t>Build/Refine code</t>
        </is>
      </c>
      <c r="R464" s="9" t="inlineStr">
        <is>
          <t>-</t>
        </is>
      </c>
      <c r="S464" s="10" t="inlineStr">
        <is>
          <t>☐ Not Started</t>
        </is>
      </c>
      <c r="T464" s="10">
        <f>IF(S464="☑ Completed", "COMPLETED", "NOT STARTED")</f>
        <v/>
      </c>
      <c r="U464" s="9" t="inlineStr">
        <is>
          <t>Review Notes for Day 93</t>
        </is>
      </c>
    </row>
    <row r="465">
      <c r="A465" s="10" t="n">
        <v>93</v>
      </c>
      <c r="B465" s="10" t="inlineStr">
        <is>
          <t>2026-12-01</t>
        </is>
      </c>
      <c r="C465" s="10" t="n">
        <v>14</v>
      </c>
      <c r="D465" s="10" t="n">
        <v>4</v>
      </c>
      <c r="E465" s="9" t="inlineStr">
        <is>
          <t>Month 4</t>
        </is>
      </c>
      <c r="F465" s="9" t="inlineStr">
        <is>
          <t>Project</t>
        </is>
      </c>
      <c r="G465" s="9" t="inlineStr">
        <is>
          <t>Resume Analyzer</t>
        </is>
      </c>
      <c r="H465" s="9" t="inlineStr">
        <is>
          <t>Experience extraction</t>
        </is>
      </c>
      <c r="I465" s="9" t="inlineStr">
        <is>
          <t>Master Experience extraction</t>
        </is>
      </c>
      <c r="J465" s="9" t="inlineStr">
        <is>
          <t>30 min</t>
        </is>
      </c>
      <c r="K465" s="9" t="inlineStr">
        <is>
          <t>30 min</t>
        </is>
      </c>
      <c r="L465" s="9" t="inlineStr">
        <is>
          <t>Code/Implement Experience extraction</t>
        </is>
      </c>
      <c r="M465" s="9" t="inlineStr">
        <is>
          <t>15 min</t>
        </is>
      </c>
      <c r="N465" s="9" t="inlineStr">
        <is>
          <t>How did you ensure accuracy in Experience extraction?</t>
        </is>
      </c>
      <c r="O465" s="9" t="inlineStr">
        <is>
          <t>15 min</t>
        </is>
      </c>
      <c r="P465" s="9" t="inlineStr">
        <is>
          <t>Pitch the Experience extraction feature of your Resume Analyzer.</t>
        </is>
      </c>
      <c r="Q465" s="9" t="inlineStr">
        <is>
          <t>Build/Refine code</t>
        </is>
      </c>
      <c r="R465" s="9" t="inlineStr">
        <is>
          <t>-</t>
        </is>
      </c>
      <c r="S465" s="10" t="inlineStr">
        <is>
          <t>☐ Not Started</t>
        </is>
      </c>
      <c r="T465" s="10">
        <f>IF(S465="☑ Completed", "COMPLETED", "NOT STARTED")</f>
        <v/>
      </c>
      <c r="U465" s="9" t="inlineStr">
        <is>
          <t>Review Notes for Day 93</t>
        </is>
      </c>
    </row>
    <row r="466">
      <c r="A466" s="10" t="n">
        <v>93</v>
      </c>
      <c r="B466" s="10" t="inlineStr">
        <is>
          <t>2026-12-01</t>
        </is>
      </c>
      <c r="C466" s="10" t="n">
        <v>14</v>
      </c>
      <c r="D466" s="10" t="n">
        <v>4</v>
      </c>
      <c r="E466" s="9" t="inlineStr">
        <is>
          <t>Month 4</t>
        </is>
      </c>
      <c r="F466" s="9" t="inlineStr">
        <is>
          <t>Project</t>
        </is>
      </c>
      <c r="G466" s="9" t="inlineStr">
        <is>
          <t>Resume Analyzer</t>
        </is>
      </c>
      <c r="H466" s="9" t="inlineStr">
        <is>
          <t>Education extraction</t>
        </is>
      </c>
      <c r="I466" s="9" t="inlineStr">
        <is>
          <t>Master Education extraction</t>
        </is>
      </c>
      <c r="J466" s="9" t="inlineStr">
        <is>
          <t>30 min</t>
        </is>
      </c>
      <c r="K466" s="9" t="inlineStr">
        <is>
          <t>30 min</t>
        </is>
      </c>
      <c r="L466" s="9" t="inlineStr">
        <is>
          <t>Code/Implement Education extraction</t>
        </is>
      </c>
      <c r="M466" s="9" t="inlineStr">
        <is>
          <t>15 min</t>
        </is>
      </c>
      <c r="N466" s="9" t="inlineStr">
        <is>
          <t>How did you ensure accuracy in Education extraction?</t>
        </is>
      </c>
      <c r="O466" s="9" t="inlineStr">
        <is>
          <t>15 min</t>
        </is>
      </c>
      <c r="P466" s="9" t="inlineStr">
        <is>
          <t>Pitch the Education extraction feature of your Resume Analyzer.</t>
        </is>
      </c>
      <c r="Q466" s="9" t="inlineStr">
        <is>
          <t>Build/Refine code</t>
        </is>
      </c>
      <c r="R466" s="9" t="inlineStr">
        <is>
          <t>-</t>
        </is>
      </c>
      <c r="S466" s="10" t="inlineStr">
        <is>
          <t>☐ Not Started</t>
        </is>
      </c>
      <c r="T466" s="10">
        <f>IF(S466="☑ Completed", "COMPLETED", "NOT STARTED")</f>
        <v/>
      </c>
      <c r="U466" s="9" t="inlineStr">
        <is>
          <t>Review Notes for Day 93</t>
        </is>
      </c>
    </row>
    <row r="467">
      <c r="A467" s="10" t="n">
        <v>94</v>
      </c>
      <c r="B467" s="10" t="inlineStr">
        <is>
          <t>2026-12-02</t>
        </is>
      </c>
      <c r="C467" s="10" t="n">
        <v>14</v>
      </c>
      <c r="D467" s="10" t="n">
        <v>4</v>
      </c>
      <c r="E467" s="9" t="inlineStr">
        <is>
          <t>Month 4</t>
        </is>
      </c>
      <c r="F467" s="9" t="inlineStr">
        <is>
          <t>Project</t>
        </is>
      </c>
      <c r="G467" s="9" t="inlineStr">
        <is>
          <t>Resume Analyzer</t>
        </is>
      </c>
      <c r="H467" s="9" t="inlineStr">
        <is>
          <t>Job description input</t>
        </is>
      </c>
      <c r="I467" s="9" t="inlineStr">
        <is>
          <t>Master Job description input</t>
        </is>
      </c>
      <c r="J467" s="9" t="inlineStr">
        <is>
          <t>45 min</t>
        </is>
      </c>
      <c r="K467" s="9" t="inlineStr">
        <is>
          <t>45 min</t>
        </is>
      </c>
      <c r="L467" s="9" t="inlineStr">
        <is>
          <t>Code/Implement Job description input</t>
        </is>
      </c>
      <c r="M467" s="9" t="inlineStr">
        <is>
          <t>15 min</t>
        </is>
      </c>
      <c r="N467" s="9" t="inlineStr">
        <is>
          <t>How did you ensure accuracy in Job description input?</t>
        </is>
      </c>
      <c r="O467" s="9" t="inlineStr">
        <is>
          <t>15 min</t>
        </is>
      </c>
      <c r="P467" s="9" t="inlineStr">
        <is>
          <t>Pitch the Job description input feature of your Resume Analyzer.</t>
        </is>
      </c>
      <c r="Q467" s="9" t="inlineStr">
        <is>
          <t>Build/Refine code</t>
        </is>
      </c>
      <c r="R467" s="9" t="n">
        <v>20</v>
      </c>
      <c r="S467" s="10" t="inlineStr">
        <is>
          <t>☐ Not Started</t>
        </is>
      </c>
      <c r="T467" s="10">
        <f>IF(S467="☑ Completed", "COMPLETED", "NOT STARTED")</f>
        <v/>
      </c>
      <c r="U467" s="9" t="inlineStr">
        <is>
          <t>Review Notes for Day 94</t>
        </is>
      </c>
    </row>
    <row r="468">
      <c r="A468" s="10" t="n">
        <v>94</v>
      </c>
      <c r="B468" s="10" t="inlineStr">
        <is>
          <t>2026-12-02</t>
        </is>
      </c>
      <c r="C468" s="10" t="n">
        <v>14</v>
      </c>
      <c r="D468" s="10" t="n">
        <v>4</v>
      </c>
      <c r="E468" s="9" t="inlineStr">
        <is>
          <t>Month 4</t>
        </is>
      </c>
      <c r="F468" s="9" t="inlineStr">
        <is>
          <t>Project</t>
        </is>
      </c>
      <c r="G468" s="9" t="inlineStr">
        <is>
          <t>Resume Analyzer</t>
        </is>
      </c>
      <c r="H468" s="9" t="inlineStr">
        <is>
          <t>JD parsing</t>
        </is>
      </c>
      <c r="I468" s="9" t="inlineStr">
        <is>
          <t>Master JD parsing</t>
        </is>
      </c>
      <c r="J468" s="9" t="inlineStr">
        <is>
          <t>30 min</t>
        </is>
      </c>
      <c r="K468" s="9" t="inlineStr">
        <is>
          <t>30 min</t>
        </is>
      </c>
      <c r="L468" s="9" t="inlineStr">
        <is>
          <t>Code/Implement JD parsing</t>
        </is>
      </c>
      <c r="M468" s="9" t="inlineStr">
        <is>
          <t>15 min</t>
        </is>
      </c>
      <c r="N468" s="9" t="inlineStr">
        <is>
          <t>How did you ensure accuracy in JD parsing?</t>
        </is>
      </c>
      <c r="O468" s="9" t="inlineStr">
        <is>
          <t>15 min</t>
        </is>
      </c>
      <c r="P468" s="9" t="inlineStr">
        <is>
          <t>Pitch the JD parsing feature of your Resume Analyzer.</t>
        </is>
      </c>
      <c r="Q468" s="9" t="inlineStr">
        <is>
          <t>Build/Refine code</t>
        </is>
      </c>
      <c r="R468" s="9" t="inlineStr">
        <is>
          <t>-</t>
        </is>
      </c>
      <c r="S468" s="10" t="inlineStr">
        <is>
          <t>☐ Not Started</t>
        </is>
      </c>
      <c r="T468" s="10">
        <f>IF(S468="☑ Completed", "COMPLETED", "NOT STARTED")</f>
        <v/>
      </c>
      <c r="U468" s="9" t="inlineStr">
        <is>
          <t>Review Notes for Day 94</t>
        </is>
      </c>
    </row>
    <row r="469">
      <c r="A469" s="10" t="n">
        <v>94</v>
      </c>
      <c r="B469" s="10" t="inlineStr">
        <is>
          <t>2026-12-02</t>
        </is>
      </c>
      <c r="C469" s="10" t="n">
        <v>14</v>
      </c>
      <c r="D469" s="10" t="n">
        <v>4</v>
      </c>
      <c r="E469" s="9" t="inlineStr">
        <is>
          <t>Month 4</t>
        </is>
      </c>
      <c r="F469" s="9" t="inlineStr">
        <is>
          <t>Project</t>
        </is>
      </c>
      <c r="G469" s="9" t="inlineStr">
        <is>
          <t>Resume Analyzer</t>
        </is>
      </c>
      <c r="H469" s="9" t="inlineStr">
        <is>
          <t>Skill matching</t>
        </is>
      </c>
      <c r="I469" s="9" t="inlineStr">
        <is>
          <t>Master Skill matching</t>
        </is>
      </c>
      <c r="J469" s="9" t="inlineStr">
        <is>
          <t>30 min</t>
        </is>
      </c>
      <c r="K469" s="9" t="inlineStr">
        <is>
          <t>30 min</t>
        </is>
      </c>
      <c r="L469" s="9" t="inlineStr">
        <is>
          <t>Code/Implement Skill matching</t>
        </is>
      </c>
      <c r="M469" s="9" t="inlineStr">
        <is>
          <t>15 min</t>
        </is>
      </c>
      <c r="N469" s="9" t="inlineStr">
        <is>
          <t>How did you ensure accuracy in Skill matching?</t>
        </is>
      </c>
      <c r="O469" s="9" t="inlineStr">
        <is>
          <t>15 min</t>
        </is>
      </c>
      <c r="P469" s="9" t="inlineStr">
        <is>
          <t>Pitch the Skill matching feature of your Resume Analyzer.</t>
        </is>
      </c>
      <c r="Q469" s="9" t="inlineStr">
        <is>
          <t>Build/Refine code</t>
        </is>
      </c>
      <c r="R469" s="9" t="inlineStr">
        <is>
          <t>-</t>
        </is>
      </c>
      <c r="S469" s="10" t="inlineStr">
        <is>
          <t>☐ Not Started</t>
        </is>
      </c>
      <c r="T469" s="10">
        <f>IF(S469="☑ Completed", "COMPLETED", "NOT STARTED")</f>
        <v/>
      </c>
      <c r="U469" s="9" t="inlineStr">
        <is>
          <t>Review Notes for Day 94</t>
        </is>
      </c>
    </row>
    <row r="470">
      <c r="A470" s="10" t="n">
        <v>94</v>
      </c>
      <c r="B470" s="10" t="inlineStr">
        <is>
          <t>2026-12-02</t>
        </is>
      </c>
      <c r="C470" s="10" t="n">
        <v>14</v>
      </c>
      <c r="D470" s="10" t="n">
        <v>4</v>
      </c>
      <c r="E470" s="9" t="inlineStr">
        <is>
          <t>Month 4</t>
        </is>
      </c>
      <c r="F470" s="9" t="inlineStr">
        <is>
          <t>Project</t>
        </is>
      </c>
      <c r="G470" s="9" t="inlineStr">
        <is>
          <t>Resume Analyzer</t>
        </is>
      </c>
      <c r="H470" s="9" t="inlineStr">
        <is>
          <t>Match score</t>
        </is>
      </c>
      <c r="I470" s="9" t="inlineStr">
        <is>
          <t>Master Match score</t>
        </is>
      </c>
      <c r="J470" s="9" t="inlineStr">
        <is>
          <t>30 min</t>
        </is>
      </c>
      <c r="K470" s="9" t="inlineStr">
        <is>
          <t>30 min</t>
        </is>
      </c>
      <c r="L470" s="9" t="inlineStr">
        <is>
          <t>Code/Implement Match score</t>
        </is>
      </c>
      <c r="M470" s="9" t="inlineStr">
        <is>
          <t>15 min</t>
        </is>
      </c>
      <c r="N470" s="9" t="inlineStr">
        <is>
          <t>How did you ensure accuracy in Match score?</t>
        </is>
      </c>
      <c r="O470" s="9" t="inlineStr">
        <is>
          <t>15 min</t>
        </is>
      </c>
      <c r="P470" s="9" t="inlineStr">
        <is>
          <t>Pitch the Match score feature of your Resume Analyzer.</t>
        </is>
      </c>
      <c r="Q470" s="9" t="inlineStr">
        <is>
          <t>Build/Refine code</t>
        </is>
      </c>
      <c r="R470" s="9" t="inlineStr">
        <is>
          <t>-</t>
        </is>
      </c>
      <c r="S470" s="10" t="inlineStr">
        <is>
          <t>☐ Not Started</t>
        </is>
      </c>
      <c r="T470" s="10">
        <f>IF(S470="☑ Completed", "COMPLETED", "NOT STARTED")</f>
        <v/>
      </c>
      <c r="U470" s="9" t="inlineStr">
        <is>
          <t>Review Notes for Day 94</t>
        </is>
      </c>
    </row>
    <row r="471">
      <c r="A471" s="10" t="n">
        <v>94</v>
      </c>
      <c r="B471" s="10" t="inlineStr">
        <is>
          <t>2026-12-02</t>
        </is>
      </c>
      <c r="C471" s="10" t="n">
        <v>14</v>
      </c>
      <c r="D471" s="10" t="n">
        <v>4</v>
      </c>
      <c r="E471" s="9" t="inlineStr">
        <is>
          <t>Month 4</t>
        </is>
      </c>
      <c r="F471" s="9" t="inlineStr">
        <is>
          <t>Project</t>
        </is>
      </c>
      <c r="G471" s="9" t="inlineStr">
        <is>
          <t>Resume Analyzer</t>
        </is>
      </c>
      <c r="H471" s="9" t="inlineStr">
        <is>
          <t>Missing skills</t>
        </is>
      </c>
      <c r="I471" s="9" t="inlineStr">
        <is>
          <t>Master Missing skills</t>
        </is>
      </c>
      <c r="J471" s="9" t="inlineStr">
        <is>
          <t>30 min</t>
        </is>
      </c>
      <c r="K471" s="9" t="inlineStr">
        <is>
          <t>30 min</t>
        </is>
      </c>
      <c r="L471" s="9" t="inlineStr">
        <is>
          <t>Code/Implement Missing skills</t>
        </is>
      </c>
      <c r="M471" s="9" t="inlineStr">
        <is>
          <t>15 min</t>
        </is>
      </c>
      <c r="N471" s="9" t="inlineStr">
        <is>
          <t>How did you ensure accuracy in Missing skills?</t>
        </is>
      </c>
      <c r="O471" s="9" t="inlineStr">
        <is>
          <t>15 min</t>
        </is>
      </c>
      <c r="P471" s="9" t="inlineStr">
        <is>
          <t>Pitch the Missing skills feature of your Resume Analyzer.</t>
        </is>
      </c>
      <c r="Q471" s="9" t="inlineStr">
        <is>
          <t>Build/Refine code</t>
        </is>
      </c>
      <c r="R471" s="9" t="inlineStr">
        <is>
          <t>-</t>
        </is>
      </c>
      <c r="S471" s="10" t="inlineStr">
        <is>
          <t>☐ Not Started</t>
        </is>
      </c>
      <c r="T471" s="10">
        <f>IF(S471="☑ Completed", "COMPLETED", "NOT STARTED")</f>
        <v/>
      </c>
      <c r="U471" s="9" t="inlineStr">
        <is>
          <t>Review Notes for Day 94</t>
        </is>
      </c>
    </row>
    <row r="472">
      <c r="A472" s="10" t="n">
        <v>95</v>
      </c>
      <c r="B472" s="10" t="inlineStr">
        <is>
          <t>2026-12-03</t>
        </is>
      </c>
      <c r="C472" s="10" t="n">
        <v>14</v>
      </c>
      <c r="D472" s="10" t="n">
        <v>4</v>
      </c>
      <c r="E472" s="9" t="inlineStr">
        <is>
          <t>Month 4</t>
        </is>
      </c>
      <c r="F472" s="9" t="inlineStr">
        <is>
          <t>Project</t>
        </is>
      </c>
      <c r="G472" s="9" t="inlineStr">
        <is>
          <t>Resume Analyzer</t>
        </is>
      </c>
      <c r="H472" s="9" t="inlineStr">
        <is>
          <t>Suggestions</t>
        </is>
      </c>
      <c r="I472" s="9" t="inlineStr">
        <is>
          <t>Master Suggestions</t>
        </is>
      </c>
      <c r="J472" s="9" t="inlineStr">
        <is>
          <t>45 min</t>
        </is>
      </c>
      <c r="K472" s="9" t="inlineStr">
        <is>
          <t>45 min</t>
        </is>
      </c>
      <c r="L472" s="9" t="inlineStr">
        <is>
          <t>Code/Implement Suggestions</t>
        </is>
      </c>
      <c r="M472" s="9" t="inlineStr">
        <is>
          <t>15 min</t>
        </is>
      </c>
      <c r="N472" s="9" t="inlineStr">
        <is>
          <t>How did you ensure accuracy in Suggestions?</t>
        </is>
      </c>
      <c r="O472" s="9" t="inlineStr">
        <is>
          <t>15 min</t>
        </is>
      </c>
      <c r="P472" s="9" t="inlineStr">
        <is>
          <t>Pitch the Suggestions feature of your Resume Analyzer.</t>
        </is>
      </c>
      <c r="Q472" s="9" t="inlineStr">
        <is>
          <t>Build/Refine code</t>
        </is>
      </c>
      <c r="R472" s="9" t="n">
        <v>20</v>
      </c>
      <c r="S472" s="10" t="inlineStr">
        <is>
          <t>☐ Not Started</t>
        </is>
      </c>
      <c r="T472" s="10">
        <f>IF(S472="☑ Completed", "COMPLETED", "NOT STARTED")</f>
        <v/>
      </c>
      <c r="U472" s="9" t="inlineStr">
        <is>
          <t>Review Notes for Day 95</t>
        </is>
      </c>
    </row>
    <row r="473">
      <c r="A473" s="10" t="n">
        <v>95</v>
      </c>
      <c r="B473" s="10" t="inlineStr">
        <is>
          <t>2026-12-03</t>
        </is>
      </c>
      <c r="C473" s="10" t="n">
        <v>14</v>
      </c>
      <c r="D473" s="10" t="n">
        <v>4</v>
      </c>
      <c r="E473" s="9" t="inlineStr">
        <is>
          <t>Month 4</t>
        </is>
      </c>
      <c r="F473" s="9" t="inlineStr">
        <is>
          <t>Project</t>
        </is>
      </c>
      <c r="G473" s="9" t="inlineStr">
        <is>
          <t>Resume Analyzer</t>
        </is>
      </c>
      <c r="H473" s="9" t="inlineStr">
        <is>
          <t>UI</t>
        </is>
      </c>
      <c r="I473" s="9" t="inlineStr">
        <is>
          <t>Master UI</t>
        </is>
      </c>
      <c r="J473" s="9" t="inlineStr">
        <is>
          <t>30 min</t>
        </is>
      </c>
      <c r="K473" s="9" t="inlineStr">
        <is>
          <t>30 min</t>
        </is>
      </c>
      <c r="L473" s="9" t="inlineStr">
        <is>
          <t>Code/Implement UI</t>
        </is>
      </c>
      <c r="M473" s="9" t="inlineStr">
        <is>
          <t>15 min</t>
        </is>
      </c>
      <c r="N473" s="9" t="inlineStr">
        <is>
          <t>How did you ensure accuracy in UI?</t>
        </is>
      </c>
      <c r="O473" s="9" t="inlineStr">
        <is>
          <t>15 min</t>
        </is>
      </c>
      <c r="P473" s="9" t="inlineStr">
        <is>
          <t>Pitch the UI feature of your Resume Analyzer.</t>
        </is>
      </c>
      <c r="Q473" s="9" t="inlineStr">
        <is>
          <t>Build/Refine code</t>
        </is>
      </c>
      <c r="R473" s="9" t="inlineStr">
        <is>
          <t>-</t>
        </is>
      </c>
      <c r="S473" s="10" t="inlineStr">
        <is>
          <t>☐ Not Started</t>
        </is>
      </c>
      <c r="T473" s="10">
        <f>IF(S473="☑ Completed", "COMPLETED", "NOT STARTED")</f>
        <v/>
      </c>
      <c r="U473" s="9" t="inlineStr">
        <is>
          <t>Review Notes for Day 95</t>
        </is>
      </c>
    </row>
    <row r="474">
      <c r="A474" s="10" t="n">
        <v>95</v>
      </c>
      <c r="B474" s="10" t="inlineStr">
        <is>
          <t>2026-12-03</t>
        </is>
      </c>
      <c r="C474" s="10" t="n">
        <v>14</v>
      </c>
      <c r="D474" s="10" t="n">
        <v>4</v>
      </c>
      <c r="E474" s="9" t="inlineStr">
        <is>
          <t>Month 4</t>
        </is>
      </c>
      <c r="F474" s="9" t="inlineStr">
        <is>
          <t>Project</t>
        </is>
      </c>
      <c r="G474" s="9" t="inlineStr">
        <is>
          <t>Resume Analyzer</t>
        </is>
      </c>
      <c r="H474" s="9" t="inlineStr">
        <is>
          <t>Testing</t>
        </is>
      </c>
      <c r="I474" s="9" t="inlineStr">
        <is>
          <t>Master Testing</t>
        </is>
      </c>
      <c r="J474" s="9" t="inlineStr">
        <is>
          <t>30 min</t>
        </is>
      </c>
      <c r="K474" s="9" t="inlineStr">
        <is>
          <t>30 min</t>
        </is>
      </c>
      <c r="L474" s="9" t="inlineStr">
        <is>
          <t>Code/Implement Testing</t>
        </is>
      </c>
      <c r="M474" s="9" t="inlineStr">
        <is>
          <t>15 min</t>
        </is>
      </c>
      <c r="N474" s="9" t="inlineStr">
        <is>
          <t>How did you ensure accuracy in Testing?</t>
        </is>
      </c>
      <c r="O474" s="9" t="inlineStr">
        <is>
          <t>15 min</t>
        </is>
      </c>
      <c r="P474" s="9" t="inlineStr">
        <is>
          <t>Pitch the Testing feature of your Resume Analyzer.</t>
        </is>
      </c>
      <c r="Q474" s="9" t="inlineStr">
        <is>
          <t>Build/Refine code</t>
        </is>
      </c>
      <c r="R474" s="9" t="inlineStr">
        <is>
          <t>-</t>
        </is>
      </c>
      <c r="S474" s="10" t="inlineStr">
        <is>
          <t>☐ Not Started</t>
        </is>
      </c>
      <c r="T474" s="10">
        <f>IF(S474="☑ Completed", "COMPLETED", "NOT STARTED")</f>
        <v/>
      </c>
      <c r="U474" s="9" t="inlineStr">
        <is>
          <t>Review Notes for Day 95</t>
        </is>
      </c>
    </row>
    <row r="475">
      <c r="A475" s="10" t="n">
        <v>95</v>
      </c>
      <c r="B475" s="10" t="inlineStr">
        <is>
          <t>2026-12-03</t>
        </is>
      </c>
      <c r="C475" s="10" t="n">
        <v>14</v>
      </c>
      <c r="D475" s="10" t="n">
        <v>4</v>
      </c>
      <c r="E475" s="9" t="inlineStr">
        <is>
          <t>Month 4</t>
        </is>
      </c>
      <c r="F475" s="9" t="inlineStr">
        <is>
          <t>Project</t>
        </is>
      </c>
      <c r="G475" s="9" t="inlineStr">
        <is>
          <t>Resume Analyzer</t>
        </is>
      </c>
      <c r="H475" s="9" t="inlineStr">
        <is>
          <t>Error handling</t>
        </is>
      </c>
      <c r="I475" s="9" t="inlineStr">
        <is>
          <t>Master Error handling</t>
        </is>
      </c>
      <c r="J475" s="9" t="inlineStr">
        <is>
          <t>30 min</t>
        </is>
      </c>
      <c r="K475" s="9" t="inlineStr">
        <is>
          <t>30 min</t>
        </is>
      </c>
      <c r="L475" s="9" t="inlineStr">
        <is>
          <t>Code/Implement Error handling</t>
        </is>
      </c>
      <c r="M475" s="9" t="inlineStr">
        <is>
          <t>15 min</t>
        </is>
      </c>
      <c r="N475" s="9" t="inlineStr">
        <is>
          <t>How did you ensure accuracy in Error handling?</t>
        </is>
      </c>
      <c r="O475" s="9" t="inlineStr">
        <is>
          <t>15 min</t>
        </is>
      </c>
      <c r="P475" s="9" t="inlineStr">
        <is>
          <t>Pitch the Error handling feature of your Resume Analyzer.</t>
        </is>
      </c>
      <c r="Q475" s="9" t="inlineStr">
        <is>
          <t>Build/Refine code</t>
        </is>
      </c>
      <c r="R475" s="9" t="inlineStr">
        <is>
          <t>-</t>
        </is>
      </c>
      <c r="S475" s="10" t="inlineStr">
        <is>
          <t>☐ Not Started</t>
        </is>
      </c>
      <c r="T475" s="10">
        <f>IF(S475="☑ Completed", "COMPLETED", "NOT STARTED")</f>
        <v/>
      </c>
      <c r="U475" s="9" t="inlineStr">
        <is>
          <t>Review Notes for Day 95</t>
        </is>
      </c>
    </row>
    <row r="476">
      <c r="A476" s="10" t="n">
        <v>95</v>
      </c>
      <c r="B476" s="10" t="inlineStr">
        <is>
          <t>2026-12-03</t>
        </is>
      </c>
      <c r="C476" s="10" t="n">
        <v>14</v>
      </c>
      <c r="D476" s="10" t="n">
        <v>4</v>
      </c>
      <c r="E476" s="9" t="inlineStr">
        <is>
          <t>Month 4</t>
        </is>
      </c>
      <c r="F476" s="9" t="inlineStr">
        <is>
          <t>Project</t>
        </is>
      </c>
      <c r="G476" s="9" t="inlineStr">
        <is>
          <t>Resume Analyzer</t>
        </is>
      </c>
      <c r="H476" s="9" t="inlineStr">
        <is>
          <t>GitHub</t>
        </is>
      </c>
      <c r="I476" s="9" t="inlineStr">
        <is>
          <t>Master GitHub</t>
        </is>
      </c>
      <c r="J476" s="9" t="inlineStr">
        <is>
          <t>30 min</t>
        </is>
      </c>
      <c r="K476" s="9" t="inlineStr">
        <is>
          <t>30 min</t>
        </is>
      </c>
      <c r="L476" s="9" t="inlineStr">
        <is>
          <t>Code/Implement GitHub</t>
        </is>
      </c>
      <c r="M476" s="9" t="inlineStr">
        <is>
          <t>15 min</t>
        </is>
      </c>
      <c r="N476" s="9" t="inlineStr">
        <is>
          <t>How did you ensure accuracy in GitHub?</t>
        </is>
      </c>
      <c r="O476" s="9" t="inlineStr">
        <is>
          <t>15 min</t>
        </is>
      </c>
      <c r="P476" s="9" t="inlineStr">
        <is>
          <t>Pitch the GitHub feature of your Resume Analyzer.</t>
        </is>
      </c>
      <c r="Q476" s="9" t="inlineStr">
        <is>
          <t>Build/Refine code</t>
        </is>
      </c>
      <c r="R476" s="9" t="inlineStr">
        <is>
          <t>-</t>
        </is>
      </c>
      <c r="S476" s="10" t="inlineStr">
        <is>
          <t>☐ Not Started</t>
        </is>
      </c>
      <c r="T476" s="10">
        <f>IF(S476="☑ Completed", "COMPLETED", "NOT STARTED")</f>
        <v/>
      </c>
      <c r="U476" s="9" t="inlineStr">
        <is>
          <t>Review Notes for Day 95</t>
        </is>
      </c>
    </row>
    <row r="477">
      <c r="A477" s="10" t="n">
        <v>96</v>
      </c>
      <c r="B477" s="10" t="inlineStr">
        <is>
          <t>2026-12-04</t>
        </is>
      </c>
      <c r="C477" s="10" t="n">
        <v>14</v>
      </c>
      <c r="D477" s="10" t="n">
        <v>4</v>
      </c>
      <c r="E477" s="9" t="inlineStr">
        <is>
          <t>Month 4</t>
        </is>
      </c>
      <c r="F477" s="9" t="inlineStr">
        <is>
          <t>Project</t>
        </is>
      </c>
      <c r="G477" s="9" t="inlineStr">
        <is>
          <t>Resume Analyzer</t>
        </is>
      </c>
      <c r="H477" s="9" t="inlineStr">
        <is>
          <t>README</t>
        </is>
      </c>
      <c r="I477" s="9" t="inlineStr">
        <is>
          <t>Master README</t>
        </is>
      </c>
      <c r="J477" s="9" t="inlineStr">
        <is>
          <t>45 min</t>
        </is>
      </c>
      <c r="K477" s="9" t="inlineStr">
        <is>
          <t>45 min</t>
        </is>
      </c>
      <c r="L477" s="9" t="inlineStr">
        <is>
          <t>Code/Implement README</t>
        </is>
      </c>
      <c r="M477" s="9" t="inlineStr">
        <is>
          <t>15 min</t>
        </is>
      </c>
      <c r="N477" s="9" t="inlineStr">
        <is>
          <t>How did you ensure accuracy in README?</t>
        </is>
      </c>
      <c r="O477" s="9" t="inlineStr">
        <is>
          <t>15 min</t>
        </is>
      </c>
      <c r="P477" s="9" t="inlineStr">
        <is>
          <t>Pitch the README feature of your Resume Analyzer.</t>
        </is>
      </c>
      <c r="Q477" s="9" t="inlineStr">
        <is>
          <t>Build/Refine code</t>
        </is>
      </c>
      <c r="R477" s="9" t="n">
        <v>20</v>
      </c>
      <c r="S477" s="10" t="inlineStr">
        <is>
          <t>☐ Not Started</t>
        </is>
      </c>
      <c r="T477" s="10">
        <f>IF(S477="☑ Completed", "COMPLETED", "NOT STARTED")</f>
        <v/>
      </c>
      <c r="U477" s="9" t="inlineStr">
        <is>
          <t>Review Notes for Day 96</t>
        </is>
      </c>
    </row>
    <row r="478">
      <c r="A478" s="10" t="n">
        <v>96</v>
      </c>
      <c r="B478" s="10" t="inlineStr">
        <is>
          <t>2026-12-04</t>
        </is>
      </c>
      <c r="C478" s="10" t="n">
        <v>14</v>
      </c>
      <c r="D478" s="10" t="n">
        <v>4</v>
      </c>
      <c r="E478" s="9" t="inlineStr">
        <is>
          <t>Month 4</t>
        </is>
      </c>
      <c r="F478" s="9" t="inlineStr">
        <is>
          <t>Project</t>
        </is>
      </c>
      <c r="G478" s="9" t="inlineStr">
        <is>
          <t>Resume Analyzer</t>
        </is>
      </c>
      <c r="H478" s="9" t="inlineStr">
        <is>
          <t>Deployment</t>
        </is>
      </c>
      <c r="I478" s="9" t="inlineStr">
        <is>
          <t>Master Deployment</t>
        </is>
      </c>
      <c r="J478" s="9" t="inlineStr">
        <is>
          <t>30 min</t>
        </is>
      </c>
      <c r="K478" s="9" t="inlineStr">
        <is>
          <t>30 min</t>
        </is>
      </c>
      <c r="L478" s="9" t="inlineStr">
        <is>
          <t>Code/Implement Deployment</t>
        </is>
      </c>
      <c r="M478" s="9" t="inlineStr">
        <is>
          <t>15 min</t>
        </is>
      </c>
      <c r="N478" s="9" t="inlineStr">
        <is>
          <t>How did you ensure accuracy in Deployment?</t>
        </is>
      </c>
      <c r="O478" s="9" t="inlineStr">
        <is>
          <t>15 min</t>
        </is>
      </c>
      <c r="P478" s="9" t="inlineStr">
        <is>
          <t>Pitch the Deployment feature of your Resume Analyzer.</t>
        </is>
      </c>
      <c r="Q478" s="9" t="inlineStr">
        <is>
          <t>Build/Refine code</t>
        </is>
      </c>
      <c r="R478" s="9" t="inlineStr">
        <is>
          <t>-</t>
        </is>
      </c>
      <c r="S478" s="10" t="inlineStr">
        <is>
          <t>☐ Not Started</t>
        </is>
      </c>
      <c r="T478" s="10">
        <f>IF(S478="☑ Completed", "COMPLETED", "NOT STARTED")</f>
        <v/>
      </c>
      <c r="U478" s="9" t="inlineStr">
        <is>
          <t>Review Notes for Day 96</t>
        </is>
      </c>
    </row>
    <row r="479">
      <c r="A479" s="10" t="n">
        <v>96</v>
      </c>
      <c r="B479" s="10" t="inlineStr">
        <is>
          <t>2026-12-04</t>
        </is>
      </c>
      <c r="C479" s="10" t="n">
        <v>14</v>
      </c>
      <c r="D479" s="10" t="n">
        <v>4</v>
      </c>
      <c r="E479" s="9" t="inlineStr">
        <is>
          <t>Month 4</t>
        </is>
      </c>
      <c r="F479" s="9" t="inlineStr">
        <is>
          <t>Project</t>
        </is>
      </c>
      <c r="G479" s="9" t="inlineStr">
        <is>
          <t>Resume Analyzer</t>
        </is>
      </c>
      <c r="H479" s="9" t="inlineStr">
        <is>
          <t>Interview explanation</t>
        </is>
      </c>
      <c r="I479" s="9" t="inlineStr">
        <is>
          <t>Master Interview explanation</t>
        </is>
      </c>
      <c r="J479" s="9" t="inlineStr">
        <is>
          <t>30 min</t>
        </is>
      </c>
      <c r="K479" s="9" t="inlineStr">
        <is>
          <t>30 min</t>
        </is>
      </c>
      <c r="L479" s="9" t="inlineStr">
        <is>
          <t>Code/Implement Interview explanation</t>
        </is>
      </c>
      <c r="M479" s="9" t="inlineStr">
        <is>
          <t>15 min</t>
        </is>
      </c>
      <c r="N479" s="9" t="inlineStr">
        <is>
          <t>How did you ensure accuracy in Interview explanation?</t>
        </is>
      </c>
      <c r="O479" s="9" t="inlineStr">
        <is>
          <t>15 min</t>
        </is>
      </c>
      <c r="P479" s="9" t="inlineStr">
        <is>
          <t>Pitch the Interview explanation feature of your Resume Analyzer.</t>
        </is>
      </c>
      <c r="Q479" s="9" t="inlineStr">
        <is>
          <t>Build/Refine code</t>
        </is>
      </c>
      <c r="R479" s="9" t="inlineStr">
        <is>
          <t>-</t>
        </is>
      </c>
      <c r="S479" s="10" t="inlineStr">
        <is>
          <t>☐ Not Started</t>
        </is>
      </c>
      <c r="T479" s="10">
        <f>IF(S479="☑ Completed", "COMPLETED", "NOT STARTED")</f>
        <v/>
      </c>
      <c r="U479" s="9" t="inlineStr">
        <is>
          <t>Review Notes for Day 96</t>
        </is>
      </c>
    </row>
    <row r="480">
      <c r="A480" s="10" t="n">
        <v>96</v>
      </c>
      <c r="B480" s="10" t="inlineStr">
        <is>
          <t>2026-12-04</t>
        </is>
      </c>
      <c r="C480" s="10" t="n">
        <v>14</v>
      </c>
      <c r="D480" s="10" t="n">
        <v>4</v>
      </c>
      <c r="E480" s="9" t="inlineStr">
        <is>
          <t>Month 4</t>
        </is>
      </c>
      <c r="F480" s="9" t="inlineStr">
        <is>
          <t>DSA</t>
        </is>
      </c>
      <c r="G480" s="9" t="inlineStr">
        <is>
          <t>Basics</t>
        </is>
      </c>
      <c r="H480" s="9" t="inlineStr">
        <is>
          <t>Arrays</t>
        </is>
      </c>
      <c r="I480" s="9" t="inlineStr">
        <is>
          <t>Master Arrays</t>
        </is>
      </c>
      <c r="J480" s="9" t="inlineStr">
        <is>
          <t>30 min</t>
        </is>
      </c>
      <c r="K480" s="9" t="inlineStr">
        <is>
          <t>30 min</t>
        </is>
      </c>
      <c r="L480" s="9" t="inlineStr">
        <is>
          <t>Code/Implement Arrays</t>
        </is>
      </c>
      <c r="M480" s="9" t="inlineStr">
        <is>
          <t>15 min</t>
        </is>
      </c>
      <c r="N480" s="9" t="inlineStr">
        <is>
          <t>What is the time complexity of Arrays?</t>
        </is>
      </c>
      <c r="O480" s="9" t="inlineStr">
        <is>
          <t>15 min</t>
        </is>
      </c>
      <c r="P480" s="9" t="inlineStr">
        <is>
          <t>Explain the algorithmic pattern behind Arrays.</t>
        </is>
      </c>
      <c r="Q480" s="9" t="inlineStr">
        <is>
          <t>Build/Refine code</t>
        </is>
      </c>
      <c r="R480" s="9" t="inlineStr">
        <is>
          <t>-</t>
        </is>
      </c>
      <c r="S480" s="10" t="inlineStr">
        <is>
          <t>☐ Not Started</t>
        </is>
      </c>
      <c r="T480" s="10">
        <f>IF(S480="☑ Completed", "COMPLETED", "NOT STARTED")</f>
        <v/>
      </c>
      <c r="U480" s="9" t="inlineStr">
        <is>
          <t>Review Notes for Day 96</t>
        </is>
      </c>
    </row>
    <row r="481">
      <c r="A481" s="10" t="n">
        <v>96</v>
      </c>
      <c r="B481" s="10" t="inlineStr">
        <is>
          <t>2026-12-04</t>
        </is>
      </c>
      <c r="C481" s="10" t="n">
        <v>14</v>
      </c>
      <c r="D481" s="10" t="n">
        <v>4</v>
      </c>
      <c r="E481" s="9" t="inlineStr">
        <is>
          <t>Month 4</t>
        </is>
      </c>
      <c r="F481" s="9" t="inlineStr">
        <is>
          <t>DSA</t>
        </is>
      </c>
      <c r="G481" s="9" t="inlineStr">
        <is>
          <t>Basics</t>
        </is>
      </c>
      <c r="H481" s="9" t="inlineStr">
        <is>
          <t>Strings</t>
        </is>
      </c>
      <c r="I481" s="9" t="inlineStr">
        <is>
          <t>Master Strings</t>
        </is>
      </c>
      <c r="J481" s="9" t="inlineStr">
        <is>
          <t>30 min</t>
        </is>
      </c>
      <c r="K481" s="9" t="inlineStr">
        <is>
          <t>30 min</t>
        </is>
      </c>
      <c r="L481" s="9" t="inlineStr">
        <is>
          <t>Code/Implement Strings</t>
        </is>
      </c>
      <c r="M481" s="9" t="inlineStr">
        <is>
          <t>15 min</t>
        </is>
      </c>
      <c r="N481" s="9" t="inlineStr">
        <is>
          <t>What is the time complexity of Strings?</t>
        </is>
      </c>
      <c r="O481" s="9" t="inlineStr">
        <is>
          <t>15 min</t>
        </is>
      </c>
      <c r="P481" s="9" t="inlineStr">
        <is>
          <t>Explain the algorithmic pattern behind Strings.</t>
        </is>
      </c>
      <c r="Q481" s="9" t="inlineStr">
        <is>
          <t>Build/Refine code</t>
        </is>
      </c>
      <c r="R481" s="9" t="inlineStr">
        <is>
          <t>-</t>
        </is>
      </c>
      <c r="S481" s="10" t="inlineStr">
        <is>
          <t>☐ Not Started</t>
        </is>
      </c>
      <c r="T481" s="10">
        <f>IF(S481="☑ Completed", "COMPLETED", "NOT STARTED")</f>
        <v/>
      </c>
      <c r="U481" s="9" t="inlineStr">
        <is>
          <t>Review Notes for Day 96</t>
        </is>
      </c>
    </row>
    <row r="482">
      <c r="A482" s="10" t="n">
        <v>97</v>
      </c>
      <c r="B482" s="10" t="inlineStr">
        <is>
          <t>2026-12-05</t>
        </is>
      </c>
      <c r="C482" s="10" t="n">
        <v>14</v>
      </c>
      <c r="D482" s="10" t="n">
        <v>4</v>
      </c>
      <c r="E482" s="9" t="inlineStr">
        <is>
          <t>Month 4</t>
        </is>
      </c>
      <c r="F482" s="9" t="inlineStr">
        <is>
          <t>DSA</t>
        </is>
      </c>
      <c r="G482" s="9" t="inlineStr">
        <is>
          <t>Basics</t>
        </is>
      </c>
      <c r="H482" s="9" t="inlineStr">
        <is>
          <t>Hashing</t>
        </is>
      </c>
      <c r="I482" s="9" t="inlineStr">
        <is>
          <t>Master Hashing</t>
        </is>
      </c>
      <c r="J482" s="9" t="inlineStr">
        <is>
          <t>45 min</t>
        </is>
      </c>
      <c r="K482" s="9" t="inlineStr">
        <is>
          <t>45 min</t>
        </is>
      </c>
      <c r="L482" s="9" t="inlineStr">
        <is>
          <t>Code/Implement Hashing</t>
        </is>
      </c>
      <c r="M482" s="9" t="inlineStr">
        <is>
          <t>15 min</t>
        </is>
      </c>
      <c r="N482" s="9" t="inlineStr">
        <is>
          <t>What is the time complexity of Hashing?</t>
        </is>
      </c>
      <c r="O482" s="9" t="inlineStr">
        <is>
          <t>15 min</t>
        </is>
      </c>
      <c r="P482" s="9" t="inlineStr">
        <is>
          <t>Explain the algorithmic pattern behind Hashing.</t>
        </is>
      </c>
      <c r="Q482" s="9" t="inlineStr">
        <is>
          <t>Build/Refine code</t>
        </is>
      </c>
      <c r="R482" s="9" t="n">
        <v>20</v>
      </c>
      <c r="S482" s="10" t="inlineStr">
        <is>
          <t>☐ Not Started</t>
        </is>
      </c>
      <c r="T482" s="10">
        <f>IF(S482="☑ Completed", "COMPLETED", "NOT STARTED")</f>
        <v/>
      </c>
      <c r="U482" s="9" t="inlineStr">
        <is>
          <t>Review Notes for Day 97</t>
        </is>
      </c>
    </row>
    <row r="483">
      <c r="A483" s="10" t="n">
        <v>97</v>
      </c>
      <c r="B483" s="10" t="inlineStr">
        <is>
          <t>2026-12-05</t>
        </is>
      </c>
      <c r="C483" s="10" t="n">
        <v>14</v>
      </c>
      <c r="D483" s="10" t="n">
        <v>4</v>
      </c>
      <c r="E483" s="9" t="inlineStr">
        <is>
          <t>Month 4</t>
        </is>
      </c>
      <c r="F483" s="9" t="inlineStr">
        <is>
          <t>DSA</t>
        </is>
      </c>
      <c r="G483" s="9" t="inlineStr">
        <is>
          <t>Basics</t>
        </is>
      </c>
      <c r="H483" s="9" t="inlineStr">
        <is>
          <t>Dictionary</t>
        </is>
      </c>
      <c r="I483" s="9" t="inlineStr">
        <is>
          <t>Master Dictionary</t>
        </is>
      </c>
      <c r="J483" s="9" t="inlineStr">
        <is>
          <t>30 min</t>
        </is>
      </c>
      <c r="K483" s="9" t="inlineStr">
        <is>
          <t>30 min</t>
        </is>
      </c>
      <c r="L483" s="9" t="inlineStr">
        <is>
          <t>Code/Implement Dictionary</t>
        </is>
      </c>
      <c r="M483" s="9" t="inlineStr">
        <is>
          <t>15 min</t>
        </is>
      </c>
      <c r="N483" s="9" t="inlineStr">
        <is>
          <t>What is the time complexity of Dictionary?</t>
        </is>
      </c>
      <c r="O483" s="9" t="inlineStr">
        <is>
          <t>15 min</t>
        </is>
      </c>
      <c r="P483" s="9" t="inlineStr">
        <is>
          <t>Explain the algorithmic pattern behind Dictionary.</t>
        </is>
      </c>
      <c r="Q483" s="9" t="inlineStr">
        <is>
          <t>Build/Refine code</t>
        </is>
      </c>
      <c r="R483" s="9" t="inlineStr">
        <is>
          <t>-</t>
        </is>
      </c>
      <c r="S483" s="10" t="inlineStr">
        <is>
          <t>☐ Not Started</t>
        </is>
      </c>
      <c r="T483" s="10">
        <f>IF(S483="☑ Completed", "COMPLETED", "NOT STARTED")</f>
        <v/>
      </c>
      <c r="U483" s="9" t="inlineStr">
        <is>
          <t>Review Notes for Day 97</t>
        </is>
      </c>
    </row>
    <row r="484">
      <c r="A484" s="10" t="n">
        <v>97</v>
      </c>
      <c r="B484" s="10" t="inlineStr">
        <is>
          <t>2026-12-05</t>
        </is>
      </c>
      <c r="C484" s="10" t="n">
        <v>14</v>
      </c>
      <c r="D484" s="10" t="n">
        <v>4</v>
      </c>
      <c r="E484" s="9" t="inlineStr">
        <is>
          <t>Month 4</t>
        </is>
      </c>
      <c r="F484" s="9" t="inlineStr">
        <is>
          <t>DSA</t>
        </is>
      </c>
      <c r="G484" s="9" t="inlineStr">
        <is>
          <t>Basics</t>
        </is>
      </c>
      <c r="H484" s="9" t="inlineStr">
        <is>
          <t>Set</t>
        </is>
      </c>
      <c r="I484" s="9" t="inlineStr">
        <is>
          <t>Master Set</t>
        </is>
      </c>
      <c r="J484" s="9" t="inlineStr">
        <is>
          <t>30 min</t>
        </is>
      </c>
      <c r="K484" s="9" t="inlineStr">
        <is>
          <t>30 min</t>
        </is>
      </c>
      <c r="L484" s="9" t="inlineStr">
        <is>
          <t>Code/Implement Set</t>
        </is>
      </c>
      <c r="M484" s="9" t="inlineStr">
        <is>
          <t>15 min</t>
        </is>
      </c>
      <c r="N484" s="9" t="inlineStr">
        <is>
          <t>What is the time complexity of Set?</t>
        </is>
      </c>
      <c r="O484" s="9" t="inlineStr">
        <is>
          <t>15 min</t>
        </is>
      </c>
      <c r="P484" s="9" t="inlineStr">
        <is>
          <t>Explain the algorithmic pattern behind Set.</t>
        </is>
      </c>
      <c r="Q484" s="9" t="inlineStr">
        <is>
          <t>Build/Refine code</t>
        </is>
      </c>
      <c r="R484" s="9" t="inlineStr">
        <is>
          <t>-</t>
        </is>
      </c>
      <c r="S484" s="10" t="inlineStr">
        <is>
          <t>☐ Not Started</t>
        </is>
      </c>
      <c r="T484" s="10">
        <f>IF(S484="☑ Completed", "COMPLETED", "NOT STARTED")</f>
        <v/>
      </c>
      <c r="U484" s="9" t="inlineStr">
        <is>
          <t>Review Notes for Day 97</t>
        </is>
      </c>
    </row>
    <row r="485">
      <c r="A485" s="10" t="n">
        <v>97</v>
      </c>
      <c r="B485" s="10" t="inlineStr">
        <is>
          <t>2026-12-05</t>
        </is>
      </c>
      <c r="C485" s="10" t="n">
        <v>14</v>
      </c>
      <c r="D485" s="10" t="n">
        <v>4</v>
      </c>
      <c r="E485" s="9" t="inlineStr">
        <is>
          <t>Month 4</t>
        </is>
      </c>
      <c r="F485" s="9" t="inlineStr">
        <is>
          <t>DSA</t>
        </is>
      </c>
      <c r="G485" s="9" t="inlineStr">
        <is>
          <t>Basics</t>
        </is>
      </c>
      <c r="H485" s="9" t="inlineStr">
        <is>
          <t>Two pointers</t>
        </is>
      </c>
      <c r="I485" s="9" t="inlineStr">
        <is>
          <t>Master Two pointers</t>
        </is>
      </c>
      <c r="J485" s="9" t="inlineStr">
        <is>
          <t>30 min</t>
        </is>
      </c>
      <c r="K485" s="9" t="inlineStr">
        <is>
          <t>30 min</t>
        </is>
      </c>
      <c r="L485" s="9" t="inlineStr">
        <is>
          <t>Code/Implement Two pointers</t>
        </is>
      </c>
      <c r="M485" s="9" t="inlineStr">
        <is>
          <t>15 min</t>
        </is>
      </c>
      <c r="N485" s="9" t="inlineStr">
        <is>
          <t>What is the time complexity of Two pointers?</t>
        </is>
      </c>
      <c r="O485" s="9" t="inlineStr">
        <is>
          <t>15 min</t>
        </is>
      </c>
      <c r="P485" s="9" t="inlineStr">
        <is>
          <t>Explain the algorithmic pattern behind Two pointers.</t>
        </is>
      </c>
      <c r="Q485" s="9" t="inlineStr">
        <is>
          <t>Build/Refine code</t>
        </is>
      </c>
      <c r="R485" s="9" t="inlineStr">
        <is>
          <t>-</t>
        </is>
      </c>
      <c r="S485" s="10" t="inlineStr">
        <is>
          <t>☐ Not Started</t>
        </is>
      </c>
      <c r="T485" s="10">
        <f>IF(S485="☑ Completed", "COMPLETED", "NOT STARTED")</f>
        <v/>
      </c>
      <c r="U485" s="9" t="inlineStr">
        <is>
          <t>Review Notes for Day 97</t>
        </is>
      </c>
    </row>
    <row r="486">
      <c r="A486" s="10" t="n">
        <v>97</v>
      </c>
      <c r="B486" s="10" t="inlineStr">
        <is>
          <t>2026-12-05</t>
        </is>
      </c>
      <c r="C486" s="10" t="n">
        <v>14</v>
      </c>
      <c r="D486" s="10" t="n">
        <v>4</v>
      </c>
      <c r="E486" s="9" t="inlineStr">
        <is>
          <t>Month 4</t>
        </is>
      </c>
      <c r="F486" s="9" t="inlineStr">
        <is>
          <t>DSA</t>
        </is>
      </c>
      <c r="G486" s="9" t="inlineStr">
        <is>
          <t>Basics</t>
        </is>
      </c>
      <c r="H486" s="9" t="inlineStr">
        <is>
          <t>Sliding window</t>
        </is>
      </c>
      <c r="I486" s="9" t="inlineStr">
        <is>
          <t>Master Sliding window</t>
        </is>
      </c>
      <c r="J486" s="9" t="inlineStr">
        <is>
          <t>30 min</t>
        </is>
      </c>
      <c r="K486" s="9" t="inlineStr">
        <is>
          <t>30 min</t>
        </is>
      </c>
      <c r="L486" s="9" t="inlineStr">
        <is>
          <t>Code/Implement Sliding window</t>
        </is>
      </c>
      <c r="M486" s="9" t="inlineStr">
        <is>
          <t>15 min</t>
        </is>
      </c>
      <c r="N486" s="9" t="inlineStr">
        <is>
          <t>What is the time complexity of Sliding window?</t>
        </is>
      </c>
      <c r="O486" s="9" t="inlineStr">
        <is>
          <t>15 min</t>
        </is>
      </c>
      <c r="P486" s="9" t="inlineStr">
        <is>
          <t>Explain the algorithmic pattern behind Sliding window.</t>
        </is>
      </c>
      <c r="Q486" s="9" t="inlineStr">
        <is>
          <t>Build/Refine code</t>
        </is>
      </c>
      <c r="R486" s="9" t="inlineStr">
        <is>
          <t>-</t>
        </is>
      </c>
      <c r="S486" s="10" t="inlineStr">
        <is>
          <t>☐ Not Started</t>
        </is>
      </c>
      <c r="T486" s="10">
        <f>IF(S486="☑ Completed", "COMPLETED", "NOT STARTED")</f>
        <v/>
      </c>
      <c r="U486" s="9" t="inlineStr">
        <is>
          <t>Review Notes for Day 97</t>
        </is>
      </c>
    </row>
    <row r="487">
      <c r="A487" s="10" t="n">
        <v>98</v>
      </c>
      <c r="B487" s="10" t="inlineStr">
        <is>
          <t>2026-12-06</t>
        </is>
      </c>
      <c r="C487" s="10" t="n">
        <v>14</v>
      </c>
      <c r="D487" s="10" t="n">
        <v>4</v>
      </c>
      <c r="E487" s="9" t="inlineStr">
        <is>
          <t>Month 4</t>
        </is>
      </c>
      <c r="F487" s="9" t="inlineStr">
        <is>
          <t>DSA</t>
        </is>
      </c>
      <c r="G487" s="9" t="inlineStr">
        <is>
          <t>Basics</t>
        </is>
      </c>
      <c r="H487" s="9" t="inlineStr">
        <is>
          <t>Stack</t>
        </is>
      </c>
      <c r="I487" s="9" t="inlineStr">
        <is>
          <t>Master Stack</t>
        </is>
      </c>
      <c r="J487" s="9" t="inlineStr">
        <is>
          <t>45 min</t>
        </is>
      </c>
      <c r="K487" s="9" t="inlineStr">
        <is>
          <t>45 min</t>
        </is>
      </c>
      <c r="L487" s="9" t="inlineStr">
        <is>
          <t>Code/Implement Stack</t>
        </is>
      </c>
      <c r="M487" s="9" t="inlineStr">
        <is>
          <t>15 min</t>
        </is>
      </c>
      <c r="N487" s="9" t="inlineStr">
        <is>
          <t>What is the time complexity of Stack?</t>
        </is>
      </c>
      <c r="O487" s="9" t="inlineStr">
        <is>
          <t>15 min</t>
        </is>
      </c>
      <c r="P487" s="9" t="inlineStr">
        <is>
          <t>Explain the algorithmic pattern behind Stack.</t>
        </is>
      </c>
      <c r="Q487" s="9" t="inlineStr">
        <is>
          <t>Build/Refine code</t>
        </is>
      </c>
      <c r="R487" s="9" t="n">
        <v>20</v>
      </c>
      <c r="S487" s="10" t="inlineStr">
        <is>
          <t>☐ Not Started</t>
        </is>
      </c>
      <c r="T487" s="10">
        <f>IF(S487="☑ Completed", "COMPLETED", "NOT STARTED")</f>
        <v/>
      </c>
      <c r="U487" s="9" t="inlineStr">
        <is>
          <t>Review Notes for Day 98</t>
        </is>
      </c>
    </row>
    <row r="488">
      <c r="A488" s="10" t="n">
        <v>98</v>
      </c>
      <c r="B488" s="10" t="inlineStr">
        <is>
          <t>2026-12-06</t>
        </is>
      </c>
      <c r="C488" s="10" t="n">
        <v>14</v>
      </c>
      <c r="D488" s="10" t="n">
        <v>4</v>
      </c>
      <c r="E488" s="9" t="inlineStr">
        <is>
          <t>Month 4</t>
        </is>
      </c>
      <c r="F488" s="9" t="inlineStr">
        <is>
          <t>DSA</t>
        </is>
      </c>
      <c r="G488" s="9" t="inlineStr">
        <is>
          <t>Basics</t>
        </is>
      </c>
      <c r="H488" s="9" t="inlineStr">
        <is>
          <t>Queue</t>
        </is>
      </c>
      <c r="I488" s="9" t="inlineStr">
        <is>
          <t>Master Queue</t>
        </is>
      </c>
      <c r="J488" s="9" t="inlineStr">
        <is>
          <t>30 min</t>
        </is>
      </c>
      <c r="K488" s="9" t="inlineStr">
        <is>
          <t>30 min</t>
        </is>
      </c>
      <c r="L488" s="9" t="inlineStr">
        <is>
          <t>Code/Implement Queue</t>
        </is>
      </c>
      <c r="M488" s="9" t="inlineStr">
        <is>
          <t>15 min</t>
        </is>
      </c>
      <c r="N488" s="9" t="inlineStr">
        <is>
          <t>What is the time complexity of Queue?</t>
        </is>
      </c>
      <c r="O488" s="9" t="inlineStr">
        <is>
          <t>15 min</t>
        </is>
      </c>
      <c r="P488" s="9" t="inlineStr">
        <is>
          <t>Explain the algorithmic pattern behind Queue.</t>
        </is>
      </c>
      <c r="Q488" s="9" t="inlineStr">
        <is>
          <t>Build/Refine code</t>
        </is>
      </c>
      <c r="R488" s="9" t="inlineStr">
        <is>
          <t>-</t>
        </is>
      </c>
      <c r="S488" s="10" t="inlineStr">
        <is>
          <t>☐ Not Started</t>
        </is>
      </c>
      <c r="T488" s="10">
        <f>IF(S488="☑ Completed", "COMPLETED", "NOT STARTED")</f>
        <v/>
      </c>
      <c r="U488" s="9" t="inlineStr">
        <is>
          <t>Review Notes for Day 98</t>
        </is>
      </c>
    </row>
    <row r="489">
      <c r="A489" s="10" t="n">
        <v>98</v>
      </c>
      <c r="B489" s="10" t="inlineStr">
        <is>
          <t>2026-12-06</t>
        </is>
      </c>
      <c r="C489" s="10" t="n">
        <v>14</v>
      </c>
      <c r="D489" s="10" t="n">
        <v>4</v>
      </c>
      <c r="E489" s="9" t="inlineStr">
        <is>
          <t>Month 4</t>
        </is>
      </c>
      <c r="F489" s="9" t="inlineStr">
        <is>
          <t>DSA</t>
        </is>
      </c>
      <c r="G489" s="9" t="inlineStr">
        <is>
          <t>Basics</t>
        </is>
      </c>
      <c r="H489" s="9" t="inlineStr">
        <is>
          <t>Linked list basics</t>
        </is>
      </c>
      <c r="I489" s="9" t="inlineStr">
        <is>
          <t>Master Linked list basics</t>
        </is>
      </c>
      <c r="J489" s="9" t="inlineStr">
        <is>
          <t>30 min</t>
        </is>
      </c>
      <c r="K489" s="9" t="inlineStr">
        <is>
          <t>30 min</t>
        </is>
      </c>
      <c r="L489" s="9" t="inlineStr">
        <is>
          <t>Code/Implement Linked list basics</t>
        </is>
      </c>
      <c r="M489" s="9" t="inlineStr">
        <is>
          <t>15 min</t>
        </is>
      </c>
      <c r="N489" s="9" t="inlineStr">
        <is>
          <t>What is the time complexity of Linked list basics?</t>
        </is>
      </c>
      <c r="O489" s="9" t="inlineStr">
        <is>
          <t>15 min</t>
        </is>
      </c>
      <c r="P489" s="9" t="inlineStr">
        <is>
          <t>Explain the algorithmic pattern behind Linked list basics.</t>
        </is>
      </c>
      <c r="Q489" s="9" t="inlineStr">
        <is>
          <t>Build/Refine code</t>
        </is>
      </c>
      <c r="R489" s="9" t="inlineStr">
        <is>
          <t>-</t>
        </is>
      </c>
      <c r="S489" s="10" t="inlineStr">
        <is>
          <t>☐ Not Started</t>
        </is>
      </c>
      <c r="T489" s="10">
        <f>IF(S489="☑ Completed", "COMPLETED", "NOT STARTED")</f>
        <v/>
      </c>
      <c r="U489" s="9" t="inlineStr">
        <is>
          <t>Review Notes for Day 98</t>
        </is>
      </c>
    </row>
    <row r="490">
      <c r="A490" s="10" t="n">
        <v>98</v>
      </c>
      <c r="B490" s="10" t="inlineStr">
        <is>
          <t>2026-12-06</t>
        </is>
      </c>
      <c r="C490" s="10" t="n">
        <v>14</v>
      </c>
      <c r="D490" s="10" t="n">
        <v>4</v>
      </c>
      <c r="E490" s="9" t="inlineStr">
        <is>
          <t>Month 4</t>
        </is>
      </c>
      <c r="F490" s="9" t="inlineStr">
        <is>
          <t>DSA</t>
        </is>
      </c>
      <c r="G490" s="9" t="inlineStr">
        <is>
          <t>Basics</t>
        </is>
      </c>
      <c r="H490" s="9" t="inlineStr">
        <is>
          <t>Binary search</t>
        </is>
      </c>
      <c r="I490" s="9" t="inlineStr">
        <is>
          <t>Master Binary search</t>
        </is>
      </c>
      <c r="J490" s="9" t="inlineStr">
        <is>
          <t>30 min</t>
        </is>
      </c>
      <c r="K490" s="9" t="inlineStr">
        <is>
          <t>30 min</t>
        </is>
      </c>
      <c r="L490" s="9" t="inlineStr">
        <is>
          <t>Code/Implement Binary search</t>
        </is>
      </c>
      <c r="M490" s="9" t="inlineStr">
        <is>
          <t>15 min</t>
        </is>
      </c>
      <c r="N490" s="9" t="inlineStr">
        <is>
          <t>What is the time complexity of Binary search?</t>
        </is>
      </c>
      <c r="O490" s="9" t="inlineStr">
        <is>
          <t>15 min</t>
        </is>
      </c>
      <c r="P490" s="9" t="inlineStr">
        <is>
          <t>Explain the algorithmic pattern behind Binary search.</t>
        </is>
      </c>
      <c r="Q490" s="9" t="inlineStr">
        <is>
          <t>Build/Refine code</t>
        </is>
      </c>
      <c r="R490" s="9" t="inlineStr">
        <is>
          <t>-</t>
        </is>
      </c>
      <c r="S490" s="10" t="inlineStr">
        <is>
          <t>☐ Not Started</t>
        </is>
      </c>
      <c r="T490" s="10">
        <f>IF(S490="☑ Completed", "COMPLETED", "NOT STARTED")</f>
        <v/>
      </c>
      <c r="U490" s="9" t="inlineStr">
        <is>
          <t>Review Notes for Day 98</t>
        </is>
      </c>
    </row>
    <row r="491">
      <c r="A491" s="10" t="n">
        <v>98</v>
      </c>
      <c r="B491" s="10" t="inlineStr">
        <is>
          <t>2026-12-06</t>
        </is>
      </c>
      <c r="C491" s="10" t="n">
        <v>14</v>
      </c>
      <c r="D491" s="10" t="n">
        <v>4</v>
      </c>
      <c r="E491" s="9" t="inlineStr">
        <is>
          <t>Month 4</t>
        </is>
      </c>
      <c r="F491" s="9" t="inlineStr">
        <is>
          <t>DSA</t>
        </is>
      </c>
      <c r="G491" s="9" t="inlineStr">
        <is>
          <t>Basics</t>
        </is>
      </c>
      <c r="H491" s="9" t="inlineStr">
        <is>
          <t>Sorting</t>
        </is>
      </c>
      <c r="I491" s="9" t="inlineStr">
        <is>
          <t>Master Sorting</t>
        </is>
      </c>
      <c r="J491" s="9" t="inlineStr">
        <is>
          <t>30 min</t>
        </is>
      </c>
      <c r="K491" s="9" t="inlineStr">
        <is>
          <t>30 min</t>
        </is>
      </c>
      <c r="L491" s="9" t="inlineStr">
        <is>
          <t>Code/Implement Sorting</t>
        </is>
      </c>
      <c r="M491" s="9" t="inlineStr">
        <is>
          <t>15 min</t>
        </is>
      </c>
      <c r="N491" s="9" t="inlineStr">
        <is>
          <t>What is the time complexity of Sorting?</t>
        </is>
      </c>
      <c r="O491" s="9" t="inlineStr">
        <is>
          <t>15 min</t>
        </is>
      </c>
      <c r="P491" s="9" t="inlineStr">
        <is>
          <t>Explain the algorithmic pattern behind Sorting.</t>
        </is>
      </c>
      <c r="Q491" s="9" t="inlineStr">
        <is>
          <t>Build/Refine code</t>
        </is>
      </c>
      <c r="R491" s="9" t="inlineStr">
        <is>
          <t>-</t>
        </is>
      </c>
      <c r="S491" s="10" t="inlineStr">
        <is>
          <t>☐ Not Started</t>
        </is>
      </c>
      <c r="T491" s="10">
        <f>IF(S491="☑ Completed", "COMPLETED", "NOT STARTED")</f>
        <v/>
      </c>
      <c r="U491" s="9" t="inlineStr">
        <is>
          <t>Review Notes for Day 98</t>
        </is>
      </c>
    </row>
    <row r="492">
      <c r="A492" s="10" t="n">
        <v>99</v>
      </c>
      <c r="B492" s="10" t="inlineStr">
        <is>
          <t>2026-12-07</t>
        </is>
      </c>
      <c r="C492" s="10" t="n">
        <v>15</v>
      </c>
      <c r="D492" s="10" t="n">
        <v>4</v>
      </c>
      <c r="E492" s="9" t="inlineStr">
        <is>
          <t>Month 4</t>
        </is>
      </c>
      <c r="F492" s="9" t="inlineStr">
        <is>
          <t>DSA</t>
        </is>
      </c>
      <c r="G492" s="9" t="inlineStr">
        <is>
          <t>Basics</t>
        </is>
      </c>
      <c r="H492" s="9" t="inlineStr">
        <is>
          <t>Recursion basics</t>
        </is>
      </c>
      <c r="I492" s="9" t="inlineStr">
        <is>
          <t>Master Recursion basics</t>
        </is>
      </c>
      <c r="J492" s="9" t="inlineStr">
        <is>
          <t>45 min</t>
        </is>
      </c>
      <c r="K492" s="9" t="inlineStr">
        <is>
          <t>45 min</t>
        </is>
      </c>
      <c r="L492" s="9" t="inlineStr">
        <is>
          <t>Code/Implement Recursion basics</t>
        </is>
      </c>
      <c r="M492" s="9" t="inlineStr">
        <is>
          <t>15 min</t>
        </is>
      </c>
      <c r="N492" s="9" t="inlineStr">
        <is>
          <t>What is the time complexity of Recursion basics?</t>
        </is>
      </c>
      <c r="O492" s="9" t="inlineStr">
        <is>
          <t>15 min</t>
        </is>
      </c>
      <c r="P492" s="9" t="inlineStr">
        <is>
          <t>Explain the algorithmic pattern behind Recursion basics.</t>
        </is>
      </c>
      <c r="Q492" s="9" t="inlineStr">
        <is>
          <t>Build/Refine code</t>
        </is>
      </c>
      <c r="R492" s="9" t="n">
        <v>20</v>
      </c>
      <c r="S492" s="10" t="inlineStr">
        <is>
          <t>☐ Not Started</t>
        </is>
      </c>
      <c r="T492" s="10">
        <f>IF(S492="☑ Completed", "COMPLETED", "NOT STARTED")</f>
        <v/>
      </c>
      <c r="U492" s="9" t="inlineStr">
        <is>
          <t>Review Notes for Day 99</t>
        </is>
      </c>
    </row>
    <row r="493">
      <c r="A493" s="10" t="n">
        <v>99</v>
      </c>
      <c r="B493" s="10" t="inlineStr">
        <is>
          <t>2026-12-07</t>
        </is>
      </c>
      <c r="C493" s="10" t="n">
        <v>15</v>
      </c>
      <c r="D493" s="10" t="n">
        <v>4</v>
      </c>
      <c r="E493" s="9" t="inlineStr">
        <is>
          <t>Month 4</t>
        </is>
      </c>
      <c r="F493" s="9" t="inlineStr">
        <is>
          <t>DSA</t>
        </is>
      </c>
      <c r="G493" s="9" t="inlineStr">
        <is>
          <t>Basics</t>
        </is>
      </c>
      <c r="H493" s="9" t="inlineStr">
        <is>
          <t>Trees basics</t>
        </is>
      </c>
      <c r="I493" s="9" t="inlineStr">
        <is>
          <t>Master Trees basics</t>
        </is>
      </c>
      <c r="J493" s="9" t="inlineStr">
        <is>
          <t>30 min</t>
        </is>
      </c>
      <c r="K493" s="9" t="inlineStr">
        <is>
          <t>30 min</t>
        </is>
      </c>
      <c r="L493" s="9" t="inlineStr">
        <is>
          <t>Code/Implement Trees basics</t>
        </is>
      </c>
      <c r="M493" s="9" t="inlineStr">
        <is>
          <t>15 min</t>
        </is>
      </c>
      <c r="N493" s="9" t="inlineStr">
        <is>
          <t>What is the time complexity of Trees basics?</t>
        </is>
      </c>
      <c r="O493" s="9" t="inlineStr">
        <is>
          <t>15 min</t>
        </is>
      </c>
      <c r="P493" s="9" t="inlineStr">
        <is>
          <t>Explain the algorithmic pattern behind Trees basics.</t>
        </is>
      </c>
      <c r="Q493" s="9" t="inlineStr">
        <is>
          <t>Build/Refine code</t>
        </is>
      </c>
      <c r="R493" s="9" t="inlineStr">
        <is>
          <t>-</t>
        </is>
      </c>
      <c r="S493" s="10" t="inlineStr">
        <is>
          <t>☐ Not Started</t>
        </is>
      </c>
      <c r="T493" s="10">
        <f>IF(S493="☑ Completed", "COMPLETED", "NOT STARTED")</f>
        <v/>
      </c>
      <c r="U493" s="9" t="inlineStr">
        <is>
          <t>Review Notes for Day 99</t>
        </is>
      </c>
    </row>
    <row r="494">
      <c r="A494" s="10" t="n">
        <v>99</v>
      </c>
      <c r="B494" s="10" t="inlineStr">
        <is>
          <t>2026-12-07</t>
        </is>
      </c>
      <c r="C494" s="10" t="n">
        <v>15</v>
      </c>
      <c r="D494" s="10" t="n">
        <v>4</v>
      </c>
      <c r="E494" s="9" t="inlineStr">
        <is>
          <t>Month 4</t>
        </is>
      </c>
      <c r="F494" s="9" t="inlineStr">
        <is>
          <t>DSA</t>
        </is>
      </c>
      <c r="G494" s="9" t="inlineStr">
        <is>
          <t>Basics</t>
        </is>
      </c>
      <c r="H494" s="9" t="inlineStr">
        <is>
          <t>Time complexity</t>
        </is>
      </c>
      <c r="I494" s="9" t="inlineStr">
        <is>
          <t>Master Time complexity</t>
        </is>
      </c>
      <c r="J494" s="9" t="inlineStr">
        <is>
          <t>30 min</t>
        </is>
      </c>
      <c r="K494" s="9" t="inlineStr">
        <is>
          <t>30 min</t>
        </is>
      </c>
      <c r="L494" s="9" t="inlineStr">
        <is>
          <t>Code/Implement Time complexity</t>
        </is>
      </c>
      <c r="M494" s="9" t="inlineStr">
        <is>
          <t>15 min</t>
        </is>
      </c>
      <c r="N494" s="9" t="inlineStr">
        <is>
          <t>What is the time complexity of Time complexity?</t>
        </is>
      </c>
      <c r="O494" s="9" t="inlineStr">
        <is>
          <t>15 min</t>
        </is>
      </c>
      <c r="P494" s="9" t="inlineStr">
        <is>
          <t>Explain the algorithmic pattern behind Time complexity.</t>
        </is>
      </c>
      <c r="Q494" s="9" t="inlineStr">
        <is>
          <t>Build/Refine code</t>
        </is>
      </c>
      <c r="R494" s="9" t="inlineStr">
        <is>
          <t>-</t>
        </is>
      </c>
      <c r="S494" s="10" t="inlineStr">
        <is>
          <t>☐ Not Started</t>
        </is>
      </c>
      <c r="T494" s="10">
        <f>IF(S494="☑ Completed", "COMPLETED", "NOT STARTED")</f>
        <v/>
      </c>
      <c r="U494" s="9" t="inlineStr">
        <is>
          <t>Review Notes for Day 99</t>
        </is>
      </c>
    </row>
    <row r="495">
      <c r="A495" s="10" t="n">
        <v>99</v>
      </c>
      <c r="B495" s="10" t="inlineStr">
        <is>
          <t>2026-12-07</t>
        </is>
      </c>
      <c r="C495" s="10" t="n">
        <v>15</v>
      </c>
      <c r="D495" s="10" t="n">
        <v>4</v>
      </c>
      <c r="E495" s="9" t="inlineStr">
        <is>
          <t>Month 4</t>
        </is>
      </c>
      <c r="F495" s="9" t="inlineStr">
        <is>
          <t>DSA</t>
        </is>
      </c>
      <c r="G495" s="9" t="inlineStr">
        <is>
          <t>Basics</t>
        </is>
      </c>
      <c r="H495" s="9" t="inlineStr">
        <is>
          <t>Space complexity</t>
        </is>
      </c>
      <c r="I495" s="9" t="inlineStr">
        <is>
          <t>Master Space complexity</t>
        </is>
      </c>
      <c r="J495" s="9" t="inlineStr">
        <is>
          <t>30 min</t>
        </is>
      </c>
      <c r="K495" s="9" t="inlineStr">
        <is>
          <t>30 min</t>
        </is>
      </c>
      <c r="L495" s="9" t="inlineStr">
        <is>
          <t>Code/Implement Space complexity</t>
        </is>
      </c>
      <c r="M495" s="9" t="inlineStr">
        <is>
          <t>15 min</t>
        </is>
      </c>
      <c r="N495" s="9" t="inlineStr">
        <is>
          <t>What is the time complexity of Space complexity?</t>
        </is>
      </c>
      <c r="O495" s="9" t="inlineStr">
        <is>
          <t>15 min</t>
        </is>
      </c>
      <c r="P495" s="9" t="inlineStr">
        <is>
          <t>Explain the algorithmic pattern behind Space complexity.</t>
        </is>
      </c>
      <c r="Q495" s="9" t="inlineStr">
        <is>
          <t>Build/Refine code</t>
        </is>
      </c>
      <c r="R495" s="9" t="inlineStr">
        <is>
          <t>-</t>
        </is>
      </c>
      <c r="S495" s="10" t="inlineStr">
        <is>
          <t>☐ Not Started</t>
        </is>
      </c>
      <c r="T495" s="10">
        <f>IF(S495="☑ Completed", "COMPLETED", "NOT STARTED")</f>
        <v/>
      </c>
      <c r="U495" s="9" t="inlineStr">
        <is>
          <t>Review Notes for Day 99</t>
        </is>
      </c>
    </row>
    <row r="496">
      <c r="A496" s="10" t="n">
        <v>100</v>
      </c>
      <c r="B496" s="10" t="inlineStr">
        <is>
          <t>2026-12-08</t>
        </is>
      </c>
      <c r="C496" s="10" t="n">
        <v>15</v>
      </c>
      <c r="D496" s="10" t="n">
        <v>4</v>
      </c>
      <c r="E496" s="9" t="inlineStr">
        <is>
          <t>Month 4</t>
        </is>
      </c>
      <c r="F496" s="9" t="inlineStr">
        <is>
          <t>Mock Interviews &amp; Revision</t>
        </is>
      </c>
      <c r="G496" s="9" t="inlineStr">
        <is>
          <t>Full AI/ML Revision</t>
        </is>
      </c>
      <c r="H496" s="9" t="inlineStr">
        <is>
          <t>Comprehensive Review Part 10</t>
        </is>
      </c>
      <c r="I496" s="9" t="inlineStr">
        <is>
          <t>Revise and mock test</t>
        </is>
      </c>
      <c r="J496" s="9" t="inlineStr">
        <is>
          <t>45 min</t>
        </is>
      </c>
      <c r="K496" s="9" t="inlineStr">
        <is>
          <t>45 min</t>
        </is>
      </c>
      <c r="L496" s="9" t="inlineStr">
        <is>
          <t>Do 1 Mock Interview</t>
        </is>
      </c>
      <c r="M496" s="9" t="inlineStr">
        <is>
          <t>15 min</t>
        </is>
      </c>
      <c r="N496" s="9" t="inlineStr">
        <is>
          <t>Full technical mock interview questions.</t>
        </is>
      </c>
      <c r="O496" s="9" t="inlineStr">
        <is>
          <t>15 min</t>
        </is>
      </c>
      <c r="P496" s="9" t="inlineStr">
        <is>
          <t>Full mock interview in English.</t>
        </is>
      </c>
      <c r="Q496" s="9" t="inlineStr">
        <is>
          <t>Build/Refine code</t>
        </is>
      </c>
      <c r="R496" s="9" t="n">
        <v>20</v>
      </c>
      <c r="S496" s="10" t="inlineStr">
        <is>
          <t>☐ Not Started</t>
        </is>
      </c>
      <c r="T496" s="10">
        <f>IF(S496="☑ Completed", "COMPLETED", "NOT STARTED")</f>
        <v/>
      </c>
      <c r="U496" s="9" t="inlineStr">
        <is>
          <t>Review Notes for Day 100</t>
        </is>
      </c>
    </row>
    <row r="497">
      <c r="A497" s="10" t="n">
        <v>101</v>
      </c>
      <c r="B497" s="10" t="inlineStr">
        <is>
          <t>2026-12-09</t>
        </is>
      </c>
      <c r="C497" s="10" t="n">
        <v>15</v>
      </c>
      <c r="D497" s="10" t="n">
        <v>4</v>
      </c>
      <c r="E497" s="9" t="inlineStr">
        <is>
          <t>Month 4</t>
        </is>
      </c>
      <c r="F497" s="9" t="inlineStr">
        <is>
          <t>Mock Interviews &amp; Revision</t>
        </is>
      </c>
      <c r="G497" s="9" t="inlineStr">
        <is>
          <t>Full AI/ML Revision</t>
        </is>
      </c>
      <c r="H497" s="9" t="inlineStr">
        <is>
          <t>Comprehensive Review Part 11</t>
        </is>
      </c>
      <c r="I497" s="9" t="inlineStr">
        <is>
          <t>Revise and mock test</t>
        </is>
      </c>
      <c r="J497" s="9" t="inlineStr">
        <is>
          <t>45 min</t>
        </is>
      </c>
      <c r="K497" s="9" t="inlineStr">
        <is>
          <t>45 min</t>
        </is>
      </c>
      <c r="L497" s="9" t="inlineStr">
        <is>
          <t>Do 1 Mock Interview</t>
        </is>
      </c>
      <c r="M497" s="9" t="inlineStr">
        <is>
          <t>15 min</t>
        </is>
      </c>
      <c r="N497" s="9" t="inlineStr">
        <is>
          <t>Full technical mock interview questions.</t>
        </is>
      </c>
      <c r="O497" s="9" t="inlineStr">
        <is>
          <t>15 min</t>
        </is>
      </c>
      <c r="P497" s="9" t="inlineStr">
        <is>
          <t>Full mock interview in English.</t>
        </is>
      </c>
      <c r="Q497" s="9" t="inlineStr">
        <is>
          <t>Build/Refine code</t>
        </is>
      </c>
      <c r="R497" s="9" t="n">
        <v>20</v>
      </c>
      <c r="S497" s="10" t="inlineStr">
        <is>
          <t>☐ Not Started</t>
        </is>
      </c>
      <c r="T497" s="10">
        <f>IF(S497="☑ Completed", "COMPLETED", "NOT STARTED")</f>
        <v/>
      </c>
      <c r="U497" s="9" t="inlineStr">
        <is>
          <t>Review Notes for Day 101</t>
        </is>
      </c>
    </row>
    <row r="498">
      <c r="A498" s="10" t="n">
        <v>102</v>
      </c>
      <c r="B498" s="10" t="inlineStr">
        <is>
          <t>2026-12-10</t>
        </is>
      </c>
      <c r="C498" s="10" t="n">
        <v>15</v>
      </c>
      <c r="D498" s="10" t="n">
        <v>4</v>
      </c>
      <c r="E498" s="9" t="inlineStr">
        <is>
          <t>Month 4</t>
        </is>
      </c>
      <c r="F498" s="9" t="inlineStr">
        <is>
          <t>Mock Interviews &amp; Revision</t>
        </is>
      </c>
      <c r="G498" s="9" t="inlineStr">
        <is>
          <t>Full AI/ML Revision</t>
        </is>
      </c>
      <c r="H498" s="9" t="inlineStr">
        <is>
          <t>Comprehensive Review Part 12</t>
        </is>
      </c>
      <c r="I498" s="9" t="inlineStr">
        <is>
          <t>Revise and mock test</t>
        </is>
      </c>
      <c r="J498" s="9" t="inlineStr">
        <is>
          <t>45 min</t>
        </is>
      </c>
      <c r="K498" s="9" t="inlineStr">
        <is>
          <t>45 min</t>
        </is>
      </c>
      <c r="L498" s="9" t="inlineStr">
        <is>
          <t>Do 1 Mock Interview</t>
        </is>
      </c>
      <c r="M498" s="9" t="inlineStr">
        <is>
          <t>15 min</t>
        </is>
      </c>
      <c r="N498" s="9" t="inlineStr">
        <is>
          <t>Full technical mock interview questions.</t>
        </is>
      </c>
      <c r="O498" s="9" t="inlineStr">
        <is>
          <t>15 min</t>
        </is>
      </c>
      <c r="P498" s="9" t="inlineStr">
        <is>
          <t>Full mock interview in English.</t>
        </is>
      </c>
      <c r="Q498" s="9" t="inlineStr">
        <is>
          <t>Build/Refine code</t>
        </is>
      </c>
      <c r="R498" s="9" t="n">
        <v>20</v>
      </c>
      <c r="S498" s="10" t="inlineStr">
        <is>
          <t>☐ Not Started</t>
        </is>
      </c>
      <c r="T498" s="10">
        <f>IF(S498="☑ Completed", "COMPLETED", "NOT STARTED")</f>
        <v/>
      </c>
      <c r="U498" s="9" t="inlineStr">
        <is>
          <t>Review Notes for Day 102</t>
        </is>
      </c>
    </row>
    <row r="499">
      <c r="A499" s="10" t="n">
        <v>103</v>
      </c>
      <c r="B499" s="10" t="inlineStr">
        <is>
          <t>2026-12-11</t>
        </is>
      </c>
      <c r="C499" s="10" t="n">
        <v>15</v>
      </c>
      <c r="D499" s="10" t="n">
        <v>4</v>
      </c>
      <c r="E499" s="9" t="inlineStr">
        <is>
          <t>Month 4</t>
        </is>
      </c>
      <c r="F499" s="9" t="inlineStr">
        <is>
          <t>Mock Interviews &amp; Revision</t>
        </is>
      </c>
      <c r="G499" s="9" t="inlineStr">
        <is>
          <t>Full AI/ML Revision</t>
        </is>
      </c>
      <c r="H499" s="9" t="inlineStr">
        <is>
          <t>Comprehensive Review Part 13</t>
        </is>
      </c>
      <c r="I499" s="9" t="inlineStr">
        <is>
          <t>Revise and mock test</t>
        </is>
      </c>
      <c r="J499" s="9" t="inlineStr">
        <is>
          <t>45 min</t>
        </is>
      </c>
      <c r="K499" s="9" t="inlineStr">
        <is>
          <t>45 min</t>
        </is>
      </c>
      <c r="L499" s="9" t="inlineStr">
        <is>
          <t>Do 1 Mock Interview</t>
        </is>
      </c>
      <c r="M499" s="9" t="inlineStr">
        <is>
          <t>15 min</t>
        </is>
      </c>
      <c r="N499" s="9" t="inlineStr">
        <is>
          <t>Full technical mock interview questions.</t>
        </is>
      </c>
      <c r="O499" s="9" t="inlineStr">
        <is>
          <t>15 min</t>
        </is>
      </c>
      <c r="P499" s="9" t="inlineStr">
        <is>
          <t>Full mock interview in English.</t>
        </is>
      </c>
      <c r="Q499" s="9" t="inlineStr">
        <is>
          <t>Build/Refine code</t>
        </is>
      </c>
      <c r="R499" s="9" t="n">
        <v>20</v>
      </c>
      <c r="S499" s="10" t="inlineStr">
        <is>
          <t>☐ Not Started</t>
        </is>
      </c>
      <c r="T499" s="10">
        <f>IF(S499="☑ Completed", "COMPLETED", "NOT STARTED")</f>
        <v/>
      </c>
      <c r="U499" s="9" t="inlineStr">
        <is>
          <t>Review Notes for Day 103</t>
        </is>
      </c>
    </row>
    <row r="500">
      <c r="A500" s="10" t="n">
        <v>104</v>
      </c>
      <c r="B500" s="10" t="inlineStr">
        <is>
          <t>2026-12-12</t>
        </is>
      </c>
      <c r="C500" s="10" t="n">
        <v>15</v>
      </c>
      <c r="D500" s="10" t="n">
        <v>4</v>
      </c>
      <c r="E500" s="9" t="inlineStr">
        <is>
          <t>Month 4</t>
        </is>
      </c>
      <c r="F500" s="9" t="inlineStr">
        <is>
          <t>Mock Interviews &amp; Revision</t>
        </is>
      </c>
      <c r="G500" s="9" t="inlineStr">
        <is>
          <t>Full AI/ML Revision</t>
        </is>
      </c>
      <c r="H500" s="9" t="inlineStr">
        <is>
          <t>Comprehensive Review Part 14</t>
        </is>
      </c>
      <c r="I500" s="9" t="inlineStr">
        <is>
          <t>Revise and mock test</t>
        </is>
      </c>
      <c r="J500" s="9" t="inlineStr">
        <is>
          <t>45 min</t>
        </is>
      </c>
      <c r="K500" s="9" t="inlineStr">
        <is>
          <t>45 min</t>
        </is>
      </c>
      <c r="L500" s="9" t="inlineStr">
        <is>
          <t>Do 1 Mock Interview</t>
        </is>
      </c>
      <c r="M500" s="9" t="inlineStr">
        <is>
          <t>15 min</t>
        </is>
      </c>
      <c r="N500" s="9" t="inlineStr">
        <is>
          <t>Full technical mock interview questions.</t>
        </is>
      </c>
      <c r="O500" s="9" t="inlineStr">
        <is>
          <t>15 min</t>
        </is>
      </c>
      <c r="P500" s="9" t="inlineStr">
        <is>
          <t>Full mock interview in English.</t>
        </is>
      </c>
      <c r="Q500" s="9" t="inlineStr">
        <is>
          <t>Build/Refine code</t>
        </is>
      </c>
      <c r="R500" s="9" t="n">
        <v>20</v>
      </c>
      <c r="S500" s="10" t="inlineStr">
        <is>
          <t>☐ Not Started</t>
        </is>
      </c>
      <c r="T500" s="10">
        <f>IF(S500="☑ Completed", "COMPLETED", "NOT STARTED")</f>
        <v/>
      </c>
      <c r="U500" s="9" t="inlineStr">
        <is>
          <t>Review Notes for Day 104</t>
        </is>
      </c>
    </row>
    <row r="501">
      <c r="A501" s="10" t="n">
        <v>105</v>
      </c>
      <c r="B501" s="10" t="inlineStr">
        <is>
          <t>2026-12-13</t>
        </is>
      </c>
      <c r="C501" s="10" t="n">
        <v>15</v>
      </c>
      <c r="D501" s="10" t="n">
        <v>4</v>
      </c>
      <c r="E501" s="9" t="inlineStr">
        <is>
          <t>Month 4</t>
        </is>
      </c>
      <c r="F501" s="9" t="inlineStr">
        <is>
          <t>Mock Interviews &amp; Revision</t>
        </is>
      </c>
      <c r="G501" s="9" t="inlineStr">
        <is>
          <t>Full AI/ML Revision</t>
        </is>
      </c>
      <c r="H501" s="9" t="inlineStr">
        <is>
          <t>Comprehensive Review Part 15</t>
        </is>
      </c>
      <c r="I501" s="9" t="inlineStr">
        <is>
          <t>Revise and mock test</t>
        </is>
      </c>
      <c r="J501" s="9" t="inlineStr">
        <is>
          <t>45 min</t>
        </is>
      </c>
      <c r="K501" s="9" t="inlineStr">
        <is>
          <t>45 min</t>
        </is>
      </c>
      <c r="L501" s="9" t="inlineStr">
        <is>
          <t>Do 1 Mock Interview</t>
        </is>
      </c>
      <c r="M501" s="9" t="inlineStr">
        <is>
          <t>15 min</t>
        </is>
      </c>
      <c r="N501" s="9" t="inlineStr">
        <is>
          <t>Full technical mock interview questions.</t>
        </is>
      </c>
      <c r="O501" s="9" t="inlineStr">
        <is>
          <t>15 min</t>
        </is>
      </c>
      <c r="P501" s="9" t="inlineStr">
        <is>
          <t>Full mock interview in English.</t>
        </is>
      </c>
      <c r="Q501" s="9" t="inlineStr">
        <is>
          <t>Build/Refine code</t>
        </is>
      </c>
      <c r="R501" s="9" t="n">
        <v>20</v>
      </c>
      <c r="S501" s="10" t="inlineStr">
        <is>
          <t>☐ Not Started</t>
        </is>
      </c>
      <c r="T501" s="10">
        <f>IF(S501="☑ Completed", "COMPLETED", "NOT STARTED")</f>
        <v/>
      </c>
      <c r="U501" s="9" t="inlineStr">
        <is>
          <t>Review Notes for Day 105</t>
        </is>
      </c>
    </row>
    <row r="502">
      <c r="A502" s="10" t="n">
        <v>106</v>
      </c>
      <c r="B502" s="10" t="inlineStr">
        <is>
          <t>2026-12-14</t>
        </is>
      </c>
      <c r="C502" s="10" t="n">
        <v>16</v>
      </c>
      <c r="D502" s="10" t="n">
        <v>4</v>
      </c>
      <c r="E502" s="9" t="inlineStr">
        <is>
          <t>Month 4</t>
        </is>
      </c>
      <c r="F502" s="9" t="inlineStr">
        <is>
          <t>Mock Interviews &amp; Revision</t>
        </is>
      </c>
      <c r="G502" s="9" t="inlineStr">
        <is>
          <t>Full AI/ML Revision</t>
        </is>
      </c>
      <c r="H502" s="9" t="inlineStr">
        <is>
          <t>Comprehensive Review Part 16</t>
        </is>
      </c>
      <c r="I502" s="9" t="inlineStr">
        <is>
          <t>Revise and mock test</t>
        </is>
      </c>
      <c r="J502" s="9" t="inlineStr">
        <is>
          <t>45 min</t>
        </is>
      </c>
      <c r="K502" s="9" t="inlineStr">
        <is>
          <t>45 min</t>
        </is>
      </c>
      <c r="L502" s="9" t="inlineStr">
        <is>
          <t>Do 1 Mock Interview</t>
        </is>
      </c>
      <c r="M502" s="9" t="inlineStr">
        <is>
          <t>15 min</t>
        </is>
      </c>
      <c r="N502" s="9" t="inlineStr">
        <is>
          <t>Full technical mock interview questions.</t>
        </is>
      </c>
      <c r="O502" s="9" t="inlineStr">
        <is>
          <t>15 min</t>
        </is>
      </c>
      <c r="P502" s="9" t="inlineStr">
        <is>
          <t>Full mock interview in English.</t>
        </is>
      </c>
      <c r="Q502" s="9" t="inlineStr">
        <is>
          <t>Build/Refine code</t>
        </is>
      </c>
      <c r="R502" s="9" t="n">
        <v>20</v>
      </c>
      <c r="S502" s="10" t="inlineStr">
        <is>
          <t>☐ Not Started</t>
        </is>
      </c>
      <c r="T502" s="10">
        <f>IF(S502="☑ Completed", "COMPLETED", "NOT STARTED")</f>
        <v/>
      </c>
      <c r="U502" s="9" t="inlineStr">
        <is>
          <t>Review Notes for Day 106</t>
        </is>
      </c>
    </row>
    <row r="503">
      <c r="A503" s="10" t="n">
        <v>107</v>
      </c>
      <c r="B503" s="10" t="inlineStr">
        <is>
          <t>2026-12-15</t>
        </is>
      </c>
      <c r="C503" s="10" t="n">
        <v>16</v>
      </c>
      <c r="D503" s="10" t="n">
        <v>4</v>
      </c>
      <c r="E503" s="9" t="inlineStr">
        <is>
          <t>Month 4</t>
        </is>
      </c>
      <c r="F503" s="9" t="inlineStr">
        <is>
          <t>Mock Interviews &amp; Revision</t>
        </is>
      </c>
      <c r="G503" s="9" t="inlineStr">
        <is>
          <t>Full AI/ML Revision</t>
        </is>
      </c>
      <c r="H503" s="9" t="inlineStr">
        <is>
          <t>Comprehensive Review Part 17</t>
        </is>
      </c>
      <c r="I503" s="9" t="inlineStr">
        <is>
          <t>Revise and mock test</t>
        </is>
      </c>
      <c r="J503" s="9" t="inlineStr">
        <is>
          <t>45 min</t>
        </is>
      </c>
      <c r="K503" s="9" t="inlineStr">
        <is>
          <t>45 min</t>
        </is>
      </c>
      <c r="L503" s="9" t="inlineStr">
        <is>
          <t>Do 1 Mock Interview</t>
        </is>
      </c>
      <c r="M503" s="9" t="inlineStr">
        <is>
          <t>15 min</t>
        </is>
      </c>
      <c r="N503" s="9" t="inlineStr">
        <is>
          <t>Full technical mock interview questions.</t>
        </is>
      </c>
      <c r="O503" s="9" t="inlineStr">
        <is>
          <t>15 min</t>
        </is>
      </c>
      <c r="P503" s="9" t="inlineStr">
        <is>
          <t>Full mock interview in English.</t>
        </is>
      </c>
      <c r="Q503" s="9" t="inlineStr">
        <is>
          <t>Build/Refine code</t>
        </is>
      </c>
      <c r="R503" s="9" t="n">
        <v>20</v>
      </c>
      <c r="S503" s="10" t="inlineStr">
        <is>
          <t>☐ Not Started</t>
        </is>
      </c>
      <c r="T503" s="10">
        <f>IF(S503="☑ Completed", "COMPLETED", "NOT STARTED")</f>
        <v/>
      </c>
      <c r="U503" s="9" t="inlineStr">
        <is>
          <t>Review Notes for Day 107</t>
        </is>
      </c>
    </row>
    <row r="504">
      <c r="A504" s="10" t="n">
        <v>108</v>
      </c>
      <c r="B504" s="10" t="inlineStr">
        <is>
          <t>2026-12-16</t>
        </is>
      </c>
      <c r="C504" s="10" t="n">
        <v>16</v>
      </c>
      <c r="D504" s="10" t="n">
        <v>4</v>
      </c>
      <c r="E504" s="9" t="inlineStr">
        <is>
          <t>Month 4</t>
        </is>
      </c>
      <c r="F504" s="9" t="inlineStr">
        <is>
          <t>Mock Interviews &amp; Revision</t>
        </is>
      </c>
      <c r="G504" s="9" t="inlineStr">
        <is>
          <t>Full AI/ML Revision</t>
        </is>
      </c>
      <c r="H504" s="9" t="inlineStr">
        <is>
          <t>Comprehensive Review Part 18</t>
        </is>
      </c>
      <c r="I504" s="9" t="inlineStr">
        <is>
          <t>Revise and mock test</t>
        </is>
      </c>
      <c r="J504" s="9" t="inlineStr">
        <is>
          <t>45 min</t>
        </is>
      </c>
      <c r="K504" s="9" t="inlineStr">
        <is>
          <t>45 min</t>
        </is>
      </c>
      <c r="L504" s="9" t="inlineStr">
        <is>
          <t>Do 1 Mock Interview</t>
        </is>
      </c>
      <c r="M504" s="9" t="inlineStr">
        <is>
          <t>15 min</t>
        </is>
      </c>
      <c r="N504" s="9" t="inlineStr">
        <is>
          <t>Full technical mock interview questions.</t>
        </is>
      </c>
      <c r="O504" s="9" t="inlineStr">
        <is>
          <t>15 min</t>
        </is>
      </c>
      <c r="P504" s="9" t="inlineStr">
        <is>
          <t>Full mock interview in English.</t>
        </is>
      </c>
      <c r="Q504" s="9" t="inlineStr">
        <is>
          <t>Build/Refine code</t>
        </is>
      </c>
      <c r="R504" s="9" t="n">
        <v>20</v>
      </c>
      <c r="S504" s="10" t="inlineStr">
        <is>
          <t>☐ Not Started</t>
        </is>
      </c>
      <c r="T504" s="10">
        <f>IF(S504="☑ Completed", "COMPLETED", "NOT STARTED")</f>
        <v/>
      </c>
      <c r="U504" s="9" t="inlineStr">
        <is>
          <t>Review Notes for Day 108</t>
        </is>
      </c>
    </row>
    <row r="505">
      <c r="A505" s="10" t="n">
        <v>109</v>
      </c>
      <c r="B505" s="10" t="inlineStr">
        <is>
          <t>2026-12-17</t>
        </is>
      </c>
      <c r="C505" s="10" t="n">
        <v>16</v>
      </c>
      <c r="D505" s="10" t="n">
        <v>4</v>
      </c>
      <c r="E505" s="9" t="inlineStr">
        <is>
          <t>Month 4</t>
        </is>
      </c>
      <c r="F505" s="9" t="inlineStr">
        <is>
          <t>Mock Interviews &amp; Revision</t>
        </is>
      </c>
      <c r="G505" s="9" t="inlineStr">
        <is>
          <t>Full AI/ML Revision</t>
        </is>
      </c>
      <c r="H505" s="9" t="inlineStr">
        <is>
          <t>Comprehensive Review Part 19</t>
        </is>
      </c>
      <c r="I505" s="9" t="inlineStr">
        <is>
          <t>Revise and mock test</t>
        </is>
      </c>
      <c r="J505" s="9" t="inlineStr">
        <is>
          <t>45 min</t>
        </is>
      </c>
      <c r="K505" s="9" t="inlineStr">
        <is>
          <t>45 min</t>
        </is>
      </c>
      <c r="L505" s="9" t="inlineStr">
        <is>
          <t>Do 1 Mock Interview</t>
        </is>
      </c>
      <c r="M505" s="9" t="inlineStr">
        <is>
          <t>15 min</t>
        </is>
      </c>
      <c r="N505" s="9" t="inlineStr">
        <is>
          <t>Full technical mock interview questions.</t>
        </is>
      </c>
      <c r="O505" s="9" t="inlineStr">
        <is>
          <t>15 min</t>
        </is>
      </c>
      <c r="P505" s="9" t="inlineStr">
        <is>
          <t>Full mock interview in English.</t>
        </is>
      </c>
      <c r="Q505" s="9" t="inlineStr">
        <is>
          <t>Build/Refine code</t>
        </is>
      </c>
      <c r="R505" s="9" t="n">
        <v>20</v>
      </c>
      <c r="S505" s="10" t="inlineStr">
        <is>
          <t>☐ Not Started</t>
        </is>
      </c>
      <c r="T505" s="10">
        <f>IF(S505="☑ Completed", "COMPLETED", "NOT STARTED")</f>
        <v/>
      </c>
      <c r="U505" s="9" t="inlineStr">
        <is>
          <t>Review Notes for Day 109</t>
        </is>
      </c>
    </row>
    <row r="506">
      <c r="A506" s="10" t="n">
        <v>110</v>
      </c>
      <c r="B506" s="10" t="inlineStr">
        <is>
          <t>2026-12-18</t>
        </is>
      </c>
      <c r="C506" s="10" t="n">
        <v>16</v>
      </c>
      <c r="D506" s="10" t="n">
        <v>4</v>
      </c>
      <c r="E506" s="9" t="inlineStr">
        <is>
          <t>Month 4</t>
        </is>
      </c>
      <c r="F506" s="9" t="inlineStr">
        <is>
          <t>Mock Interviews &amp; Revision</t>
        </is>
      </c>
      <c r="G506" s="9" t="inlineStr">
        <is>
          <t>Full AI/ML Revision</t>
        </is>
      </c>
      <c r="H506" s="9" t="inlineStr">
        <is>
          <t>Comprehensive Review Part 20</t>
        </is>
      </c>
      <c r="I506" s="9" t="inlineStr">
        <is>
          <t>Revise and mock test</t>
        </is>
      </c>
      <c r="J506" s="9" t="inlineStr">
        <is>
          <t>45 min</t>
        </is>
      </c>
      <c r="K506" s="9" t="inlineStr">
        <is>
          <t>45 min</t>
        </is>
      </c>
      <c r="L506" s="9" t="inlineStr">
        <is>
          <t>Do 1 Mock Interview</t>
        </is>
      </c>
      <c r="M506" s="9" t="inlineStr">
        <is>
          <t>15 min</t>
        </is>
      </c>
      <c r="N506" s="9" t="inlineStr">
        <is>
          <t>Full technical mock interview questions.</t>
        </is>
      </c>
      <c r="O506" s="9" t="inlineStr">
        <is>
          <t>15 min</t>
        </is>
      </c>
      <c r="P506" s="9" t="inlineStr">
        <is>
          <t>Full mock interview in English.</t>
        </is>
      </c>
      <c r="Q506" s="9" t="inlineStr">
        <is>
          <t>Build/Refine code</t>
        </is>
      </c>
      <c r="R506" s="9" t="n">
        <v>20</v>
      </c>
      <c r="S506" s="10" t="inlineStr">
        <is>
          <t>☐ Not Started</t>
        </is>
      </c>
      <c r="T506" s="10">
        <f>IF(S506="☑ Completed", "COMPLETED", "NOT STARTED")</f>
        <v/>
      </c>
      <c r="U506" s="9" t="inlineStr">
        <is>
          <t>Review Notes for Day 110</t>
        </is>
      </c>
    </row>
    <row r="507">
      <c r="A507" s="10" t="n">
        <v>111</v>
      </c>
      <c r="B507" s="10" t="inlineStr">
        <is>
          <t>2026-12-19</t>
        </is>
      </c>
      <c r="C507" s="10" t="n">
        <v>16</v>
      </c>
      <c r="D507" s="10" t="n">
        <v>4</v>
      </c>
      <c r="E507" s="9" t="inlineStr">
        <is>
          <t>Month 4</t>
        </is>
      </c>
      <c r="F507" s="9" t="inlineStr">
        <is>
          <t>Mock Interviews &amp; Revision</t>
        </is>
      </c>
      <c r="G507" s="9" t="inlineStr">
        <is>
          <t>Full AI/ML Revision</t>
        </is>
      </c>
      <c r="H507" s="9" t="inlineStr">
        <is>
          <t>Comprehensive Review Part 21</t>
        </is>
      </c>
      <c r="I507" s="9" t="inlineStr">
        <is>
          <t>Revise and mock test</t>
        </is>
      </c>
      <c r="J507" s="9" t="inlineStr">
        <is>
          <t>45 min</t>
        </is>
      </c>
      <c r="K507" s="9" t="inlineStr">
        <is>
          <t>45 min</t>
        </is>
      </c>
      <c r="L507" s="9" t="inlineStr">
        <is>
          <t>Do 1 Mock Interview</t>
        </is>
      </c>
      <c r="M507" s="9" t="inlineStr">
        <is>
          <t>15 min</t>
        </is>
      </c>
      <c r="N507" s="9" t="inlineStr">
        <is>
          <t>Full technical mock interview questions.</t>
        </is>
      </c>
      <c r="O507" s="9" t="inlineStr">
        <is>
          <t>15 min</t>
        </is>
      </c>
      <c r="P507" s="9" t="inlineStr">
        <is>
          <t>Full mock interview in English.</t>
        </is>
      </c>
      <c r="Q507" s="9" t="inlineStr">
        <is>
          <t>Build/Refine code</t>
        </is>
      </c>
      <c r="R507" s="9" t="n">
        <v>20</v>
      </c>
      <c r="S507" s="10" t="inlineStr">
        <is>
          <t>☐ Not Started</t>
        </is>
      </c>
      <c r="T507" s="10">
        <f>IF(S507="☑ Completed", "COMPLETED", "NOT STARTED")</f>
        <v/>
      </c>
      <c r="U507" s="9" t="inlineStr">
        <is>
          <t>Review Notes for Day 111</t>
        </is>
      </c>
    </row>
    <row r="508">
      <c r="A508" s="10" t="n">
        <v>112</v>
      </c>
      <c r="B508" s="10" t="inlineStr">
        <is>
          <t>2026-12-20</t>
        </is>
      </c>
      <c r="C508" s="10" t="n">
        <v>16</v>
      </c>
      <c r="D508" s="10" t="n">
        <v>4</v>
      </c>
      <c r="E508" s="9" t="inlineStr">
        <is>
          <t>Month 4</t>
        </is>
      </c>
      <c r="F508" s="9" t="inlineStr">
        <is>
          <t>Mock Interviews &amp; Revision</t>
        </is>
      </c>
      <c r="G508" s="9" t="inlineStr">
        <is>
          <t>Full AI/ML Revision</t>
        </is>
      </c>
      <c r="H508" s="9" t="inlineStr">
        <is>
          <t>Comprehensive Review Part 22</t>
        </is>
      </c>
      <c r="I508" s="9" t="inlineStr">
        <is>
          <t>Revise and mock test</t>
        </is>
      </c>
      <c r="J508" s="9" t="inlineStr">
        <is>
          <t>45 min</t>
        </is>
      </c>
      <c r="K508" s="9" t="inlineStr">
        <is>
          <t>45 min</t>
        </is>
      </c>
      <c r="L508" s="9" t="inlineStr">
        <is>
          <t>Do 1 Mock Interview</t>
        </is>
      </c>
      <c r="M508" s="9" t="inlineStr">
        <is>
          <t>15 min</t>
        </is>
      </c>
      <c r="N508" s="9" t="inlineStr">
        <is>
          <t>Full technical mock interview questions.</t>
        </is>
      </c>
      <c r="O508" s="9" t="inlineStr">
        <is>
          <t>15 min</t>
        </is>
      </c>
      <c r="P508" s="9" t="inlineStr">
        <is>
          <t>Full mock interview in English.</t>
        </is>
      </c>
      <c r="Q508" s="9" t="inlineStr">
        <is>
          <t>Build/Refine code</t>
        </is>
      </c>
      <c r="R508" s="9" t="n">
        <v>20</v>
      </c>
      <c r="S508" s="10" t="inlineStr">
        <is>
          <t>☐ Not Started</t>
        </is>
      </c>
      <c r="T508" s="10">
        <f>IF(S508="☑ Completed", "COMPLETED", "NOT STARTED")</f>
        <v/>
      </c>
      <c r="U508" s="9" t="inlineStr">
        <is>
          <t>Review Notes for Day 112</t>
        </is>
      </c>
    </row>
    <row r="509">
      <c r="A509" s="10" t="n">
        <v>113</v>
      </c>
      <c r="B509" s="10" t="inlineStr">
        <is>
          <t>2026-12-21</t>
        </is>
      </c>
      <c r="C509" s="10" t="n">
        <v>17</v>
      </c>
      <c r="D509" s="10" t="n">
        <v>4</v>
      </c>
      <c r="E509" s="9" t="inlineStr">
        <is>
          <t>Month 4</t>
        </is>
      </c>
      <c r="F509" s="9" t="inlineStr">
        <is>
          <t>Mock Interviews &amp; Revision</t>
        </is>
      </c>
      <c r="G509" s="9" t="inlineStr">
        <is>
          <t>Full AI/ML Revision</t>
        </is>
      </c>
      <c r="H509" s="9" t="inlineStr">
        <is>
          <t>Comprehensive Review Part 23</t>
        </is>
      </c>
      <c r="I509" s="9" t="inlineStr">
        <is>
          <t>Revise and mock test</t>
        </is>
      </c>
      <c r="J509" s="9" t="inlineStr">
        <is>
          <t>45 min</t>
        </is>
      </c>
      <c r="K509" s="9" t="inlineStr">
        <is>
          <t>45 min</t>
        </is>
      </c>
      <c r="L509" s="9" t="inlineStr">
        <is>
          <t>Do 1 Mock Interview</t>
        </is>
      </c>
      <c r="M509" s="9" t="inlineStr">
        <is>
          <t>15 min</t>
        </is>
      </c>
      <c r="N509" s="9" t="inlineStr">
        <is>
          <t>Full technical mock interview questions.</t>
        </is>
      </c>
      <c r="O509" s="9" t="inlineStr">
        <is>
          <t>15 min</t>
        </is>
      </c>
      <c r="P509" s="9" t="inlineStr">
        <is>
          <t>Full mock interview in English.</t>
        </is>
      </c>
      <c r="Q509" s="9" t="inlineStr">
        <is>
          <t>Build/Refine code</t>
        </is>
      </c>
      <c r="R509" s="9" t="n">
        <v>20</v>
      </c>
      <c r="S509" s="10" t="inlineStr">
        <is>
          <t>☐ Not Started</t>
        </is>
      </c>
      <c r="T509" s="10">
        <f>IF(S509="☑ Completed", "COMPLETED", "NOT STARTED")</f>
        <v/>
      </c>
      <c r="U509" s="9" t="inlineStr">
        <is>
          <t>Review Notes for Day 113</t>
        </is>
      </c>
    </row>
    <row r="510">
      <c r="A510" s="10" t="n">
        <v>114</v>
      </c>
      <c r="B510" s="10" t="inlineStr">
        <is>
          <t>2026-12-22</t>
        </is>
      </c>
      <c r="C510" s="10" t="n">
        <v>17</v>
      </c>
      <c r="D510" s="10" t="n">
        <v>4</v>
      </c>
      <c r="E510" s="9" t="inlineStr">
        <is>
          <t>Month 4</t>
        </is>
      </c>
      <c r="F510" s="9" t="inlineStr">
        <is>
          <t>Mock Interviews &amp; Revision</t>
        </is>
      </c>
      <c r="G510" s="9" t="inlineStr">
        <is>
          <t>Full AI/ML Revision</t>
        </is>
      </c>
      <c r="H510" s="9" t="inlineStr">
        <is>
          <t>Comprehensive Review Part 24</t>
        </is>
      </c>
      <c r="I510" s="9" t="inlineStr">
        <is>
          <t>Revise and mock test</t>
        </is>
      </c>
      <c r="J510" s="9" t="inlineStr">
        <is>
          <t>45 min</t>
        </is>
      </c>
      <c r="K510" s="9" t="inlineStr">
        <is>
          <t>45 min</t>
        </is>
      </c>
      <c r="L510" s="9" t="inlineStr">
        <is>
          <t>Do 1 Mock Interview</t>
        </is>
      </c>
      <c r="M510" s="9" t="inlineStr">
        <is>
          <t>15 min</t>
        </is>
      </c>
      <c r="N510" s="9" t="inlineStr">
        <is>
          <t>Full technical mock interview questions.</t>
        </is>
      </c>
      <c r="O510" s="9" t="inlineStr">
        <is>
          <t>15 min</t>
        </is>
      </c>
      <c r="P510" s="9" t="inlineStr">
        <is>
          <t>Full mock interview in English.</t>
        </is>
      </c>
      <c r="Q510" s="9" t="inlineStr">
        <is>
          <t>Build/Refine code</t>
        </is>
      </c>
      <c r="R510" s="9" t="n">
        <v>20</v>
      </c>
      <c r="S510" s="10" t="inlineStr">
        <is>
          <t>☐ Not Started</t>
        </is>
      </c>
      <c r="T510" s="10">
        <f>IF(S510="☑ Completed", "COMPLETED", "NOT STARTED")</f>
        <v/>
      </c>
      <c r="U510" s="9" t="inlineStr">
        <is>
          <t>Review Notes for Day 114</t>
        </is>
      </c>
    </row>
    <row r="511">
      <c r="A511" s="10" t="n">
        <v>115</v>
      </c>
      <c r="B511" s="10" t="inlineStr">
        <is>
          <t>2026-12-23</t>
        </is>
      </c>
      <c r="C511" s="10" t="n">
        <v>17</v>
      </c>
      <c r="D511" s="10" t="n">
        <v>4</v>
      </c>
      <c r="E511" s="9" t="inlineStr">
        <is>
          <t>Month 4</t>
        </is>
      </c>
      <c r="F511" s="9" t="inlineStr">
        <is>
          <t>Mock Interviews &amp; Revision</t>
        </is>
      </c>
      <c r="G511" s="9" t="inlineStr">
        <is>
          <t>Full AI/ML Revision</t>
        </is>
      </c>
      <c r="H511" s="9" t="inlineStr">
        <is>
          <t>Comprehensive Review Part 25</t>
        </is>
      </c>
      <c r="I511" s="9" t="inlineStr">
        <is>
          <t>Revise and mock test</t>
        </is>
      </c>
      <c r="J511" s="9" t="inlineStr">
        <is>
          <t>45 min</t>
        </is>
      </c>
      <c r="K511" s="9" t="inlineStr">
        <is>
          <t>45 min</t>
        </is>
      </c>
      <c r="L511" s="9" t="inlineStr">
        <is>
          <t>Do 1 Mock Interview</t>
        </is>
      </c>
      <c r="M511" s="9" t="inlineStr">
        <is>
          <t>15 min</t>
        </is>
      </c>
      <c r="N511" s="9" t="inlineStr">
        <is>
          <t>Full technical mock interview questions.</t>
        </is>
      </c>
      <c r="O511" s="9" t="inlineStr">
        <is>
          <t>15 min</t>
        </is>
      </c>
      <c r="P511" s="9" t="inlineStr">
        <is>
          <t>Full mock interview in English.</t>
        </is>
      </c>
      <c r="Q511" s="9" t="inlineStr">
        <is>
          <t>Build/Refine code</t>
        </is>
      </c>
      <c r="R511" s="9" t="n">
        <v>20</v>
      </c>
      <c r="S511" s="10" t="inlineStr">
        <is>
          <t>☐ Not Started</t>
        </is>
      </c>
      <c r="T511" s="10">
        <f>IF(S511="☑ Completed", "COMPLETED", "NOT STARTED")</f>
        <v/>
      </c>
      <c r="U511" s="9" t="inlineStr">
        <is>
          <t>Review Notes for Day 115</t>
        </is>
      </c>
    </row>
    <row r="512">
      <c r="A512" s="10" t="n">
        <v>116</v>
      </c>
      <c r="B512" s="10" t="inlineStr">
        <is>
          <t>2026-12-24</t>
        </is>
      </c>
      <c r="C512" s="10" t="n">
        <v>17</v>
      </c>
      <c r="D512" s="10" t="n">
        <v>4</v>
      </c>
      <c r="E512" s="9" t="inlineStr">
        <is>
          <t>Month 4</t>
        </is>
      </c>
      <c r="F512" s="9" t="inlineStr">
        <is>
          <t>Mock Interviews &amp; Revision</t>
        </is>
      </c>
      <c r="G512" s="9" t="inlineStr">
        <is>
          <t>Full AI/ML Revision</t>
        </is>
      </c>
      <c r="H512" s="9" t="inlineStr">
        <is>
          <t>Comprehensive Review Part 26</t>
        </is>
      </c>
      <c r="I512" s="9" t="inlineStr">
        <is>
          <t>Revise and mock test</t>
        </is>
      </c>
      <c r="J512" s="9" t="inlineStr">
        <is>
          <t>45 min</t>
        </is>
      </c>
      <c r="K512" s="9" t="inlineStr">
        <is>
          <t>45 min</t>
        </is>
      </c>
      <c r="L512" s="9" t="inlineStr">
        <is>
          <t>Do 1 Mock Interview</t>
        </is>
      </c>
      <c r="M512" s="9" t="inlineStr">
        <is>
          <t>15 min</t>
        </is>
      </c>
      <c r="N512" s="9" t="inlineStr">
        <is>
          <t>Full technical mock interview questions.</t>
        </is>
      </c>
      <c r="O512" s="9" t="inlineStr">
        <is>
          <t>15 min</t>
        </is>
      </c>
      <c r="P512" s="9" t="inlineStr">
        <is>
          <t>Full mock interview in English.</t>
        </is>
      </c>
      <c r="Q512" s="9" t="inlineStr">
        <is>
          <t>Build/Refine code</t>
        </is>
      </c>
      <c r="R512" s="9" t="n">
        <v>20</v>
      </c>
      <c r="S512" s="10" t="inlineStr">
        <is>
          <t>☐ Not Started</t>
        </is>
      </c>
      <c r="T512" s="10">
        <f>IF(S512="☑ Completed", "COMPLETED", "NOT STARTED")</f>
        <v/>
      </c>
      <c r="U512" s="9" t="inlineStr">
        <is>
          <t>Review Notes for Day 116</t>
        </is>
      </c>
    </row>
    <row r="513">
      <c r="A513" s="10" t="n">
        <v>117</v>
      </c>
      <c r="B513" s="10" t="inlineStr">
        <is>
          <t>2026-12-25</t>
        </is>
      </c>
      <c r="C513" s="10" t="n">
        <v>17</v>
      </c>
      <c r="D513" s="10" t="n">
        <v>4</v>
      </c>
      <c r="E513" s="9" t="inlineStr">
        <is>
          <t>Month 4</t>
        </is>
      </c>
      <c r="F513" s="9" t="inlineStr">
        <is>
          <t>Mock Interviews &amp; Revision</t>
        </is>
      </c>
      <c r="G513" s="9" t="inlineStr">
        <is>
          <t>Full AI/ML Revision</t>
        </is>
      </c>
      <c r="H513" s="9" t="inlineStr">
        <is>
          <t>Comprehensive Review Part 27</t>
        </is>
      </c>
      <c r="I513" s="9" t="inlineStr">
        <is>
          <t>Revise and mock test</t>
        </is>
      </c>
      <c r="J513" s="9" t="inlineStr">
        <is>
          <t>45 min</t>
        </is>
      </c>
      <c r="K513" s="9" t="inlineStr">
        <is>
          <t>45 min</t>
        </is>
      </c>
      <c r="L513" s="9" t="inlineStr">
        <is>
          <t>Do 1 Mock Interview</t>
        </is>
      </c>
      <c r="M513" s="9" t="inlineStr">
        <is>
          <t>15 min</t>
        </is>
      </c>
      <c r="N513" s="9" t="inlineStr">
        <is>
          <t>Full technical mock interview questions.</t>
        </is>
      </c>
      <c r="O513" s="9" t="inlineStr">
        <is>
          <t>15 min</t>
        </is>
      </c>
      <c r="P513" s="9" t="inlineStr">
        <is>
          <t>Full mock interview in English.</t>
        </is>
      </c>
      <c r="Q513" s="9" t="inlineStr">
        <is>
          <t>Build/Refine code</t>
        </is>
      </c>
      <c r="R513" s="9" t="n">
        <v>20</v>
      </c>
      <c r="S513" s="10" t="inlineStr">
        <is>
          <t>☐ Not Started</t>
        </is>
      </c>
      <c r="T513" s="10">
        <f>IF(S513="☑ Completed", "COMPLETED", "NOT STARTED")</f>
        <v/>
      </c>
      <c r="U513" s="9" t="inlineStr">
        <is>
          <t>Review Notes for Day 117</t>
        </is>
      </c>
    </row>
    <row r="514">
      <c r="A514" s="10" t="n">
        <v>118</v>
      </c>
      <c r="B514" s="10" t="inlineStr">
        <is>
          <t>2026-12-26</t>
        </is>
      </c>
      <c r="C514" s="10" t="n">
        <v>17</v>
      </c>
      <c r="D514" s="10" t="n">
        <v>4</v>
      </c>
      <c r="E514" s="9" t="inlineStr">
        <is>
          <t>Month 4</t>
        </is>
      </c>
      <c r="F514" s="9" t="inlineStr">
        <is>
          <t>Mock Interviews &amp; Revision</t>
        </is>
      </c>
      <c r="G514" s="9" t="inlineStr">
        <is>
          <t>Full AI/ML Revision</t>
        </is>
      </c>
      <c r="H514" s="9" t="inlineStr">
        <is>
          <t>Comprehensive Review Part 28</t>
        </is>
      </c>
      <c r="I514" s="9" t="inlineStr">
        <is>
          <t>Revise and mock test</t>
        </is>
      </c>
      <c r="J514" s="9" t="inlineStr">
        <is>
          <t>45 min</t>
        </is>
      </c>
      <c r="K514" s="9" t="inlineStr">
        <is>
          <t>45 min</t>
        </is>
      </c>
      <c r="L514" s="9" t="inlineStr">
        <is>
          <t>Do 1 Mock Interview</t>
        </is>
      </c>
      <c r="M514" s="9" t="inlineStr">
        <is>
          <t>15 min</t>
        </is>
      </c>
      <c r="N514" s="9" t="inlineStr">
        <is>
          <t>Full technical mock interview questions.</t>
        </is>
      </c>
      <c r="O514" s="9" t="inlineStr">
        <is>
          <t>15 min</t>
        </is>
      </c>
      <c r="P514" s="9" t="inlineStr">
        <is>
          <t>Full mock interview in English.</t>
        </is>
      </c>
      <c r="Q514" s="9" t="inlineStr">
        <is>
          <t>Build/Refine code</t>
        </is>
      </c>
      <c r="R514" s="9" t="n">
        <v>20</v>
      </c>
      <c r="S514" s="10" t="inlineStr">
        <is>
          <t>☐ Not Started</t>
        </is>
      </c>
      <c r="T514" s="10">
        <f>IF(S514="☑ Completed", "COMPLETED", "NOT STARTED")</f>
        <v/>
      </c>
      <c r="U514" s="9" t="inlineStr">
        <is>
          <t>Review Notes for Day 118</t>
        </is>
      </c>
    </row>
    <row r="515">
      <c r="A515" s="10" t="n">
        <v>119</v>
      </c>
      <c r="B515" s="10" t="inlineStr">
        <is>
          <t>2026-12-27</t>
        </is>
      </c>
      <c r="C515" s="10" t="n">
        <v>17</v>
      </c>
      <c r="D515" s="10" t="n">
        <v>4</v>
      </c>
      <c r="E515" s="9" t="inlineStr">
        <is>
          <t>Month 4</t>
        </is>
      </c>
      <c r="F515" s="9" t="inlineStr">
        <is>
          <t>Mock Interviews &amp; Revision</t>
        </is>
      </c>
      <c r="G515" s="9" t="inlineStr">
        <is>
          <t>Full AI/ML Revision</t>
        </is>
      </c>
      <c r="H515" s="9" t="inlineStr">
        <is>
          <t>Comprehensive Review Part 29</t>
        </is>
      </c>
      <c r="I515" s="9" t="inlineStr">
        <is>
          <t>Revise and mock test</t>
        </is>
      </c>
      <c r="J515" s="9" t="inlineStr">
        <is>
          <t>45 min</t>
        </is>
      </c>
      <c r="K515" s="9" t="inlineStr">
        <is>
          <t>45 min</t>
        </is>
      </c>
      <c r="L515" s="9" t="inlineStr">
        <is>
          <t>Do 1 Mock Interview</t>
        </is>
      </c>
      <c r="M515" s="9" t="inlineStr">
        <is>
          <t>15 min</t>
        </is>
      </c>
      <c r="N515" s="9" t="inlineStr">
        <is>
          <t>Full technical mock interview questions.</t>
        </is>
      </c>
      <c r="O515" s="9" t="inlineStr">
        <is>
          <t>15 min</t>
        </is>
      </c>
      <c r="P515" s="9" t="inlineStr">
        <is>
          <t>Full mock interview in English.</t>
        </is>
      </c>
      <c r="Q515" s="9" t="inlineStr">
        <is>
          <t>Build/Refine code</t>
        </is>
      </c>
      <c r="R515" s="9" t="n">
        <v>20</v>
      </c>
      <c r="S515" s="10" t="inlineStr">
        <is>
          <t>☐ Not Started</t>
        </is>
      </c>
      <c r="T515" s="10">
        <f>IF(S515="☑ Completed", "COMPLETED", "NOT STARTED")</f>
        <v/>
      </c>
      <c r="U515" s="9" t="inlineStr">
        <is>
          <t>Review Notes for Day 119</t>
        </is>
      </c>
    </row>
    <row r="516">
      <c r="A516" s="10" t="n">
        <v>120</v>
      </c>
      <c r="B516" s="10" t="inlineStr">
        <is>
          <t>2026-12-28</t>
        </is>
      </c>
      <c r="C516" s="10" t="n">
        <v>18</v>
      </c>
      <c r="D516" s="10" t="n">
        <v>4</v>
      </c>
      <c r="E516" s="9" t="inlineStr">
        <is>
          <t>Month 4</t>
        </is>
      </c>
      <c r="F516" s="9" t="inlineStr">
        <is>
          <t>Mock Interviews &amp; Revision</t>
        </is>
      </c>
      <c r="G516" s="9" t="inlineStr">
        <is>
          <t>Full AI/ML Revision</t>
        </is>
      </c>
      <c r="H516" s="9" t="inlineStr">
        <is>
          <t>Comprehensive Review Part 30</t>
        </is>
      </c>
      <c r="I516" s="9" t="inlineStr">
        <is>
          <t>Revise and mock test</t>
        </is>
      </c>
      <c r="J516" s="9" t="inlineStr">
        <is>
          <t>45 min</t>
        </is>
      </c>
      <c r="K516" s="9" t="inlineStr">
        <is>
          <t>45 min</t>
        </is>
      </c>
      <c r="L516" s="9" t="inlineStr">
        <is>
          <t>Do 1 Mock Interview</t>
        </is>
      </c>
      <c r="M516" s="9" t="inlineStr">
        <is>
          <t>15 min</t>
        </is>
      </c>
      <c r="N516" s="9" t="inlineStr">
        <is>
          <t>Full technical mock interview questions.</t>
        </is>
      </c>
      <c r="O516" s="9" t="inlineStr">
        <is>
          <t>15 min</t>
        </is>
      </c>
      <c r="P516" s="9" t="inlineStr">
        <is>
          <t>Full mock interview in English.</t>
        </is>
      </c>
      <c r="Q516" s="9" t="inlineStr">
        <is>
          <t>Build/Refine code</t>
        </is>
      </c>
      <c r="R516" s="9" t="n">
        <v>20</v>
      </c>
      <c r="S516" s="10" t="inlineStr">
        <is>
          <t>☐ Not Started</t>
        </is>
      </c>
      <c r="T516" s="10">
        <f>IF(S516="☑ Completed", "COMPLETED", "NOT STARTED")</f>
        <v/>
      </c>
      <c r="U516" s="9" t="inlineStr">
        <is>
          <t>Review Notes for Day 120</t>
        </is>
      </c>
    </row>
  </sheetData>
  <autoFilter ref="A1:U516"/>
  <conditionalFormatting sqref="S2:T516">
    <cfRule type="expression" priority="1" dxfId="0" stopIfTrue="1">
      <formula>T2="COMPLETED"</formula>
    </cfRule>
  </conditionalFormatting>
  <dataValidations count="1">
    <dataValidation sqref="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S497 S498 S499 S500 S501 S502 S503 S504 S505 S506 S507 S508 S509 S510 S511 S512 S513 S514 S515 S516" showDropDown="0" showInputMessage="0" showErrorMessage="0" allowBlank="1" type="list">
      <formula1>"☐ Not Started,☑ Completed"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20" customWidth="1" min="6" max="6"/>
    <col width="15" customWidth="1" min="7" max="7"/>
    <col width="20" customWidth="1" min="8" max="8"/>
    <col width="15" customWidth="1" min="9" max="9"/>
    <col width="20" customWidth="1" min="10" max="10"/>
    <col width="15" customWidth="1" min="11" max="11"/>
    <col width="18" customWidth="1" min="12" max="12"/>
  </cols>
  <sheetData>
    <row r="1">
      <c r="A1" s="8" t="inlineStr">
        <is>
          <t>Subject</t>
        </is>
      </c>
      <c r="B1" s="8" t="inlineStr">
        <is>
          <t>Topic</t>
        </is>
      </c>
      <c r="C1" s="8" t="inlineStr">
        <is>
          <t>Subtopic</t>
        </is>
      </c>
      <c r="D1" s="8" t="inlineStr">
        <is>
          <t>Planned Day</t>
        </is>
      </c>
      <c r="E1" s="8" t="inlineStr">
        <is>
          <t>Planned Time</t>
        </is>
      </c>
      <c r="F1" s="8" t="inlineStr">
        <is>
          <t>Completion Checkbox</t>
        </is>
      </c>
      <c r="G1" s="8" t="inlineStr">
        <is>
          <t>Status</t>
        </is>
      </c>
      <c r="H1" s="8" t="inlineStr">
        <is>
          <t>Revision 1 (Day + 3)</t>
        </is>
      </c>
      <c r="I1" s="8" t="inlineStr">
        <is>
          <t>Rev 1 Done</t>
        </is>
      </c>
      <c r="J1" s="8" t="inlineStr">
        <is>
          <t>Revision 2 (Day + 7)</t>
        </is>
      </c>
      <c r="K1" s="8" t="inlineStr">
        <is>
          <t>Rev 2 Done</t>
        </is>
      </c>
      <c r="L1" s="8" t="inlineStr">
        <is>
          <t>Confidence (1-5)</t>
        </is>
      </c>
    </row>
    <row r="2">
      <c r="A2" s="9" t="inlineStr">
        <is>
          <t>Python</t>
        </is>
      </c>
      <c r="B2" s="9" t="inlineStr">
        <is>
          <t>Setup</t>
        </is>
      </c>
      <c r="C2" s="9" t="inlineStr">
        <is>
          <t>Python installation</t>
        </is>
      </c>
      <c r="D2" s="10" t="inlineStr">
        <is>
          <t>Day 1</t>
        </is>
      </c>
      <c r="E2" s="10" t="inlineStr">
        <is>
          <t>45 min</t>
        </is>
      </c>
      <c r="F2" s="10" t="inlineStr">
        <is>
          <t>☐ Not Started</t>
        </is>
      </c>
      <c r="G2" s="10">
        <f>IF(F2="☑ Completed", "COMPLETED", "NOT STARTED")</f>
        <v/>
      </c>
      <c r="H2" s="10" t="inlineStr">
        <is>
          <t>Day 4</t>
        </is>
      </c>
      <c r="I2" s="10" t="inlineStr">
        <is>
          <t>☐ Not Started</t>
        </is>
      </c>
      <c r="J2" s="10" t="inlineStr">
        <is>
          <t>Day 8</t>
        </is>
      </c>
      <c r="K2" s="10" t="inlineStr">
        <is>
          <t>☐ Not Started</t>
        </is>
      </c>
      <c r="L2" s="10" t="inlineStr"/>
    </row>
    <row r="3">
      <c r="A3" s="9" t="inlineStr">
        <is>
          <t>Python</t>
        </is>
      </c>
      <c r="B3" s="9" t="inlineStr">
        <is>
          <t>Setup</t>
        </is>
      </c>
      <c r="C3" s="9" t="inlineStr">
        <is>
          <t>VS Code setup</t>
        </is>
      </c>
      <c r="D3" s="10" t="inlineStr">
        <is>
          <t>Day 1</t>
        </is>
      </c>
      <c r="E3" s="10" t="inlineStr">
        <is>
          <t>30 min</t>
        </is>
      </c>
      <c r="F3" s="10" t="inlineStr">
        <is>
          <t>☐ Not Started</t>
        </is>
      </c>
      <c r="G3" s="10">
        <f>IF(F3="☑ Completed", "COMPLETED", "NOT STARTED")</f>
        <v/>
      </c>
      <c r="H3" s="10" t="inlineStr">
        <is>
          <t>Day 4</t>
        </is>
      </c>
      <c r="I3" s="10" t="inlineStr">
        <is>
          <t>☐ Not Started</t>
        </is>
      </c>
      <c r="J3" s="10" t="inlineStr">
        <is>
          <t>Day 8</t>
        </is>
      </c>
      <c r="K3" s="10" t="inlineStr">
        <is>
          <t>☐ Not Started</t>
        </is>
      </c>
      <c r="L3" s="10" t="inlineStr"/>
    </row>
    <row r="4">
      <c r="A4" s="9" t="inlineStr">
        <is>
          <t>Python</t>
        </is>
      </c>
      <c r="B4" s="9" t="inlineStr">
        <is>
          <t>Setup</t>
        </is>
      </c>
      <c r="C4" s="9" t="inlineStr">
        <is>
          <t>Virtual environment</t>
        </is>
      </c>
      <c r="D4" s="10" t="inlineStr">
        <is>
          <t>Day 1</t>
        </is>
      </c>
      <c r="E4" s="10" t="inlineStr">
        <is>
          <t>30 min</t>
        </is>
      </c>
      <c r="F4" s="10" t="inlineStr">
        <is>
          <t>☐ Not Started</t>
        </is>
      </c>
      <c r="G4" s="10">
        <f>IF(F4="☑ Completed", "COMPLETED", "NOT STARTED")</f>
        <v/>
      </c>
      <c r="H4" s="10" t="inlineStr">
        <is>
          <t>Day 4</t>
        </is>
      </c>
      <c r="I4" s="10" t="inlineStr">
        <is>
          <t>☐ Not Started</t>
        </is>
      </c>
      <c r="J4" s="10" t="inlineStr">
        <is>
          <t>Day 8</t>
        </is>
      </c>
      <c r="K4" s="10" t="inlineStr">
        <is>
          <t>☐ Not Started</t>
        </is>
      </c>
      <c r="L4" s="10" t="inlineStr"/>
    </row>
    <row r="5">
      <c r="A5" s="9" t="inlineStr">
        <is>
          <t>Python</t>
        </is>
      </c>
      <c r="B5" s="9" t="inlineStr">
        <is>
          <t>Setup</t>
        </is>
      </c>
      <c r="C5" s="9" t="inlineStr">
        <is>
          <t>pip</t>
        </is>
      </c>
      <c r="D5" s="10" t="inlineStr">
        <is>
          <t>Day 1</t>
        </is>
      </c>
      <c r="E5" s="10" t="inlineStr">
        <is>
          <t>30 min</t>
        </is>
      </c>
      <c r="F5" s="10" t="inlineStr">
        <is>
          <t>☐ Not Started</t>
        </is>
      </c>
      <c r="G5" s="10">
        <f>IF(F5="☑ Completed", "COMPLETED", "NOT STARTED")</f>
        <v/>
      </c>
      <c r="H5" s="10" t="inlineStr">
        <is>
          <t>Day 4</t>
        </is>
      </c>
      <c r="I5" s="10" t="inlineStr">
        <is>
          <t>☐ Not Started</t>
        </is>
      </c>
      <c r="J5" s="10" t="inlineStr">
        <is>
          <t>Day 8</t>
        </is>
      </c>
      <c r="K5" s="10" t="inlineStr">
        <is>
          <t>☐ Not Started</t>
        </is>
      </c>
      <c r="L5" s="10" t="inlineStr"/>
    </row>
    <row r="6">
      <c r="A6" s="9" t="inlineStr">
        <is>
          <t>Python</t>
        </is>
      </c>
      <c r="B6" s="9" t="inlineStr">
        <is>
          <t>Setup</t>
        </is>
      </c>
      <c r="C6" s="9" t="inlineStr">
        <is>
          <t>requirements.txt</t>
        </is>
      </c>
      <c r="D6" s="10" t="inlineStr">
        <is>
          <t>Day 1</t>
        </is>
      </c>
      <c r="E6" s="10" t="inlineStr">
        <is>
          <t>30 min</t>
        </is>
      </c>
      <c r="F6" s="10" t="inlineStr">
        <is>
          <t>☐ Not Started</t>
        </is>
      </c>
      <c r="G6" s="10">
        <f>IF(F6="☑ Completed", "COMPLETED", "NOT STARTED")</f>
        <v/>
      </c>
      <c r="H6" s="10" t="inlineStr">
        <is>
          <t>Day 4</t>
        </is>
      </c>
      <c r="I6" s="10" t="inlineStr">
        <is>
          <t>☐ Not Started</t>
        </is>
      </c>
      <c r="J6" s="10" t="inlineStr">
        <is>
          <t>Day 8</t>
        </is>
      </c>
      <c r="K6" s="10" t="inlineStr">
        <is>
          <t>☐ Not Started</t>
        </is>
      </c>
      <c r="L6" s="10" t="inlineStr"/>
    </row>
    <row r="7">
      <c r="A7" s="9" t="inlineStr">
        <is>
          <t>Python</t>
        </is>
      </c>
      <c r="B7" s="9" t="inlineStr">
        <is>
          <t>Basics</t>
        </is>
      </c>
      <c r="C7" s="9" t="inlineStr">
        <is>
          <t>Python syntax</t>
        </is>
      </c>
      <c r="D7" s="10" t="inlineStr">
        <is>
          <t>Day 2</t>
        </is>
      </c>
      <c r="E7" s="10" t="inlineStr">
        <is>
          <t>45 min</t>
        </is>
      </c>
      <c r="F7" s="10" t="inlineStr">
        <is>
          <t>☐ Not Started</t>
        </is>
      </c>
      <c r="G7" s="10">
        <f>IF(F7="☑ Completed", "COMPLETED", "NOT STARTED")</f>
        <v/>
      </c>
      <c r="H7" s="10" t="inlineStr">
        <is>
          <t>Day 5</t>
        </is>
      </c>
      <c r="I7" s="10" t="inlineStr">
        <is>
          <t>☐ Not Started</t>
        </is>
      </c>
      <c r="J7" s="10" t="inlineStr">
        <is>
          <t>Day 9</t>
        </is>
      </c>
      <c r="K7" s="10" t="inlineStr">
        <is>
          <t>☐ Not Started</t>
        </is>
      </c>
      <c r="L7" s="10" t="inlineStr"/>
    </row>
    <row r="8">
      <c r="A8" s="9" t="inlineStr">
        <is>
          <t>Python</t>
        </is>
      </c>
      <c r="B8" s="9" t="inlineStr">
        <is>
          <t>Basics</t>
        </is>
      </c>
      <c r="C8" s="9" t="inlineStr">
        <is>
          <t>Variables</t>
        </is>
      </c>
      <c r="D8" s="10" t="inlineStr">
        <is>
          <t>Day 2</t>
        </is>
      </c>
      <c r="E8" s="10" t="inlineStr">
        <is>
          <t>30 min</t>
        </is>
      </c>
      <c r="F8" s="10" t="inlineStr">
        <is>
          <t>☐ Not Started</t>
        </is>
      </c>
      <c r="G8" s="10">
        <f>IF(F8="☑ Completed", "COMPLETED", "NOT STARTED")</f>
        <v/>
      </c>
      <c r="H8" s="10" t="inlineStr">
        <is>
          <t>Day 5</t>
        </is>
      </c>
      <c r="I8" s="10" t="inlineStr">
        <is>
          <t>☐ Not Started</t>
        </is>
      </c>
      <c r="J8" s="10" t="inlineStr">
        <is>
          <t>Day 9</t>
        </is>
      </c>
      <c r="K8" s="10" t="inlineStr">
        <is>
          <t>☐ Not Started</t>
        </is>
      </c>
      <c r="L8" s="10" t="inlineStr"/>
    </row>
    <row r="9">
      <c r="A9" s="9" t="inlineStr">
        <is>
          <t>Python</t>
        </is>
      </c>
      <c r="B9" s="9" t="inlineStr">
        <is>
          <t>Basics</t>
        </is>
      </c>
      <c r="C9" s="9" t="inlineStr">
        <is>
          <t>int</t>
        </is>
      </c>
      <c r="D9" s="10" t="inlineStr">
        <is>
          <t>Day 2</t>
        </is>
      </c>
      <c r="E9" s="10" t="inlineStr">
        <is>
          <t>30 min</t>
        </is>
      </c>
      <c r="F9" s="10" t="inlineStr">
        <is>
          <t>☐ Not Started</t>
        </is>
      </c>
      <c r="G9" s="10">
        <f>IF(F9="☑ Completed", "COMPLETED", "NOT STARTED")</f>
        <v/>
      </c>
      <c r="H9" s="10" t="inlineStr">
        <is>
          <t>Day 5</t>
        </is>
      </c>
      <c r="I9" s="10" t="inlineStr">
        <is>
          <t>☐ Not Started</t>
        </is>
      </c>
      <c r="J9" s="10" t="inlineStr">
        <is>
          <t>Day 9</t>
        </is>
      </c>
      <c r="K9" s="10" t="inlineStr">
        <is>
          <t>☐ Not Started</t>
        </is>
      </c>
      <c r="L9" s="10" t="inlineStr"/>
    </row>
    <row r="10">
      <c r="A10" s="9" t="inlineStr">
        <is>
          <t>Python</t>
        </is>
      </c>
      <c r="B10" s="9" t="inlineStr">
        <is>
          <t>Basics</t>
        </is>
      </c>
      <c r="C10" s="9" t="inlineStr">
        <is>
          <t>float</t>
        </is>
      </c>
      <c r="D10" s="10" t="inlineStr">
        <is>
          <t>Day 2</t>
        </is>
      </c>
      <c r="E10" s="10" t="inlineStr">
        <is>
          <t>30 min</t>
        </is>
      </c>
      <c r="F10" s="10" t="inlineStr">
        <is>
          <t>☐ Not Started</t>
        </is>
      </c>
      <c r="G10" s="10">
        <f>IF(F10="☑ Completed", "COMPLETED", "NOT STARTED")</f>
        <v/>
      </c>
      <c r="H10" s="10" t="inlineStr">
        <is>
          <t>Day 5</t>
        </is>
      </c>
      <c r="I10" s="10" t="inlineStr">
        <is>
          <t>☐ Not Started</t>
        </is>
      </c>
      <c r="J10" s="10" t="inlineStr">
        <is>
          <t>Day 9</t>
        </is>
      </c>
      <c r="K10" s="10" t="inlineStr">
        <is>
          <t>☐ Not Started</t>
        </is>
      </c>
      <c r="L10" s="10" t="inlineStr"/>
    </row>
    <row r="11">
      <c r="A11" s="9" t="inlineStr">
        <is>
          <t>Python</t>
        </is>
      </c>
      <c r="B11" s="9" t="inlineStr">
        <is>
          <t>Basics</t>
        </is>
      </c>
      <c r="C11" s="9" t="inlineStr">
        <is>
          <t>string</t>
        </is>
      </c>
      <c r="D11" s="10" t="inlineStr">
        <is>
          <t>Day 2</t>
        </is>
      </c>
      <c r="E11" s="10" t="inlineStr">
        <is>
          <t>30 min</t>
        </is>
      </c>
      <c r="F11" s="10" t="inlineStr">
        <is>
          <t>☐ Not Started</t>
        </is>
      </c>
      <c r="G11" s="10">
        <f>IF(F11="☑ Completed", "COMPLETED", "NOT STARTED")</f>
        <v/>
      </c>
      <c r="H11" s="10" t="inlineStr">
        <is>
          <t>Day 5</t>
        </is>
      </c>
      <c r="I11" s="10" t="inlineStr">
        <is>
          <t>☐ Not Started</t>
        </is>
      </c>
      <c r="J11" s="10" t="inlineStr">
        <is>
          <t>Day 9</t>
        </is>
      </c>
      <c r="K11" s="10" t="inlineStr">
        <is>
          <t>☐ Not Started</t>
        </is>
      </c>
      <c r="L11" s="10" t="inlineStr"/>
    </row>
    <row r="12">
      <c r="A12" s="9" t="inlineStr">
        <is>
          <t>Python</t>
        </is>
      </c>
      <c r="B12" s="9" t="inlineStr">
        <is>
          <t>Basics</t>
        </is>
      </c>
      <c r="C12" s="9" t="inlineStr">
        <is>
          <t>boolean</t>
        </is>
      </c>
      <c r="D12" s="10" t="inlineStr">
        <is>
          <t>Day 3</t>
        </is>
      </c>
      <c r="E12" s="10" t="inlineStr">
        <is>
          <t>45 min</t>
        </is>
      </c>
      <c r="F12" s="10" t="inlineStr">
        <is>
          <t>☐ Not Started</t>
        </is>
      </c>
      <c r="G12" s="10">
        <f>IF(F12="☑ Completed", "COMPLETED", "NOT STARTED")</f>
        <v/>
      </c>
      <c r="H12" s="10" t="inlineStr">
        <is>
          <t>Day 6</t>
        </is>
      </c>
      <c r="I12" s="10" t="inlineStr">
        <is>
          <t>☐ Not Started</t>
        </is>
      </c>
      <c r="J12" s="10" t="inlineStr">
        <is>
          <t>Day 10</t>
        </is>
      </c>
      <c r="K12" s="10" t="inlineStr">
        <is>
          <t>☐ Not Started</t>
        </is>
      </c>
      <c r="L12" s="10" t="inlineStr"/>
    </row>
    <row r="13">
      <c r="A13" s="9" t="inlineStr">
        <is>
          <t>Python</t>
        </is>
      </c>
      <c r="B13" s="9" t="inlineStr">
        <is>
          <t>Basics</t>
        </is>
      </c>
      <c r="C13" s="9" t="inlineStr">
        <is>
          <t>None</t>
        </is>
      </c>
      <c r="D13" s="10" t="inlineStr">
        <is>
          <t>Day 3</t>
        </is>
      </c>
      <c r="E13" s="10" t="inlineStr">
        <is>
          <t>30 min</t>
        </is>
      </c>
      <c r="F13" s="10" t="inlineStr">
        <is>
          <t>☐ Not Started</t>
        </is>
      </c>
      <c r="G13" s="10">
        <f>IF(F13="☑ Completed", "COMPLETED", "NOT STARTED")</f>
        <v/>
      </c>
      <c r="H13" s="10" t="inlineStr">
        <is>
          <t>Day 6</t>
        </is>
      </c>
      <c r="I13" s="10" t="inlineStr">
        <is>
          <t>☐ Not Started</t>
        </is>
      </c>
      <c r="J13" s="10" t="inlineStr">
        <is>
          <t>Day 10</t>
        </is>
      </c>
      <c r="K13" s="10" t="inlineStr">
        <is>
          <t>☐ Not Started</t>
        </is>
      </c>
      <c r="L13" s="10" t="inlineStr"/>
    </row>
    <row r="14">
      <c r="A14" s="9" t="inlineStr">
        <is>
          <t>Python</t>
        </is>
      </c>
      <c r="B14" s="9" t="inlineStr">
        <is>
          <t>Basics</t>
        </is>
      </c>
      <c r="C14" s="9" t="inlineStr">
        <is>
          <t>Type conversion</t>
        </is>
      </c>
      <c r="D14" s="10" t="inlineStr">
        <is>
          <t>Day 3</t>
        </is>
      </c>
      <c r="E14" s="10" t="inlineStr">
        <is>
          <t>30 min</t>
        </is>
      </c>
      <c r="F14" s="10" t="inlineStr">
        <is>
          <t>☐ Not Started</t>
        </is>
      </c>
      <c r="G14" s="10">
        <f>IF(F14="☑ Completed", "COMPLETED", "NOT STARTED")</f>
        <v/>
      </c>
      <c r="H14" s="10" t="inlineStr">
        <is>
          <t>Day 6</t>
        </is>
      </c>
      <c r="I14" s="10" t="inlineStr">
        <is>
          <t>☐ Not Started</t>
        </is>
      </c>
      <c r="J14" s="10" t="inlineStr">
        <is>
          <t>Day 10</t>
        </is>
      </c>
      <c r="K14" s="10" t="inlineStr">
        <is>
          <t>☐ Not Started</t>
        </is>
      </c>
      <c r="L14" s="10" t="inlineStr"/>
    </row>
    <row r="15">
      <c r="A15" s="9" t="inlineStr">
        <is>
          <t>Python</t>
        </is>
      </c>
      <c r="B15" s="9" t="inlineStr">
        <is>
          <t>Operators</t>
        </is>
      </c>
      <c r="C15" s="9" t="inlineStr">
        <is>
          <t>Arithmetic</t>
        </is>
      </c>
      <c r="D15" s="10" t="inlineStr">
        <is>
          <t>Day 3</t>
        </is>
      </c>
      <c r="E15" s="10" t="inlineStr">
        <is>
          <t>30 min</t>
        </is>
      </c>
      <c r="F15" s="10" t="inlineStr">
        <is>
          <t>☐ Not Started</t>
        </is>
      </c>
      <c r="G15" s="10">
        <f>IF(F15="☑ Completed", "COMPLETED", "NOT STARTED")</f>
        <v/>
      </c>
      <c r="H15" s="10" t="inlineStr">
        <is>
          <t>Day 6</t>
        </is>
      </c>
      <c r="I15" s="10" t="inlineStr">
        <is>
          <t>☐ Not Started</t>
        </is>
      </c>
      <c r="J15" s="10" t="inlineStr">
        <is>
          <t>Day 10</t>
        </is>
      </c>
      <c r="K15" s="10" t="inlineStr">
        <is>
          <t>☐ Not Started</t>
        </is>
      </c>
      <c r="L15" s="10" t="inlineStr"/>
    </row>
    <row r="16">
      <c r="A16" s="9" t="inlineStr">
        <is>
          <t>Python</t>
        </is>
      </c>
      <c r="B16" s="9" t="inlineStr">
        <is>
          <t>Operators</t>
        </is>
      </c>
      <c r="C16" s="9" t="inlineStr">
        <is>
          <t>Comparison</t>
        </is>
      </c>
      <c r="D16" s="10" t="inlineStr">
        <is>
          <t>Day 3</t>
        </is>
      </c>
      <c r="E16" s="10" t="inlineStr">
        <is>
          <t>30 min</t>
        </is>
      </c>
      <c r="F16" s="10" t="inlineStr">
        <is>
          <t>☐ Not Started</t>
        </is>
      </c>
      <c r="G16" s="10">
        <f>IF(F16="☑ Completed", "COMPLETED", "NOT STARTED")</f>
        <v/>
      </c>
      <c r="H16" s="10" t="inlineStr">
        <is>
          <t>Day 6</t>
        </is>
      </c>
      <c r="I16" s="10" t="inlineStr">
        <is>
          <t>☐ Not Started</t>
        </is>
      </c>
      <c r="J16" s="10" t="inlineStr">
        <is>
          <t>Day 10</t>
        </is>
      </c>
      <c r="K16" s="10" t="inlineStr">
        <is>
          <t>☐ Not Started</t>
        </is>
      </c>
      <c r="L16" s="10" t="inlineStr"/>
    </row>
    <row r="17">
      <c r="A17" s="9" t="inlineStr">
        <is>
          <t>Python</t>
        </is>
      </c>
      <c r="B17" s="9" t="inlineStr">
        <is>
          <t>Operators</t>
        </is>
      </c>
      <c r="C17" s="9" t="inlineStr">
        <is>
          <t>Logical</t>
        </is>
      </c>
      <c r="D17" s="10" t="inlineStr">
        <is>
          <t>Day 4</t>
        </is>
      </c>
      <c r="E17" s="10" t="inlineStr">
        <is>
          <t>45 min</t>
        </is>
      </c>
      <c r="F17" s="10" t="inlineStr">
        <is>
          <t>☐ Not Started</t>
        </is>
      </c>
      <c r="G17" s="10">
        <f>IF(F17="☑ Completed", "COMPLETED", "NOT STARTED")</f>
        <v/>
      </c>
      <c r="H17" s="10" t="inlineStr">
        <is>
          <t>Day 7</t>
        </is>
      </c>
      <c r="I17" s="10" t="inlineStr">
        <is>
          <t>☐ Not Started</t>
        </is>
      </c>
      <c r="J17" s="10" t="inlineStr">
        <is>
          <t>Day 11</t>
        </is>
      </c>
      <c r="K17" s="10" t="inlineStr">
        <is>
          <t>☐ Not Started</t>
        </is>
      </c>
      <c r="L17" s="10" t="inlineStr"/>
    </row>
    <row r="18">
      <c r="A18" s="9" t="inlineStr">
        <is>
          <t>Python</t>
        </is>
      </c>
      <c r="B18" s="9" t="inlineStr">
        <is>
          <t>Operators</t>
        </is>
      </c>
      <c r="C18" s="9" t="inlineStr">
        <is>
          <t>Assignment</t>
        </is>
      </c>
      <c r="D18" s="10" t="inlineStr">
        <is>
          <t>Day 4</t>
        </is>
      </c>
      <c r="E18" s="10" t="inlineStr">
        <is>
          <t>30 min</t>
        </is>
      </c>
      <c r="F18" s="10" t="inlineStr">
        <is>
          <t>☐ Not Started</t>
        </is>
      </c>
      <c r="G18" s="10">
        <f>IF(F18="☑ Completed", "COMPLETED", "NOT STARTED")</f>
        <v/>
      </c>
      <c r="H18" s="10" t="inlineStr">
        <is>
          <t>Day 7</t>
        </is>
      </c>
      <c r="I18" s="10" t="inlineStr">
        <is>
          <t>☐ Not Started</t>
        </is>
      </c>
      <c r="J18" s="10" t="inlineStr">
        <is>
          <t>Day 11</t>
        </is>
      </c>
      <c r="K18" s="10" t="inlineStr">
        <is>
          <t>☐ Not Started</t>
        </is>
      </c>
      <c r="L18" s="10" t="inlineStr"/>
    </row>
    <row r="19">
      <c r="A19" s="9" t="inlineStr">
        <is>
          <t>Python</t>
        </is>
      </c>
      <c r="B19" s="9" t="inlineStr">
        <is>
          <t>Operators</t>
        </is>
      </c>
      <c r="C19" s="9" t="inlineStr">
        <is>
          <t>Membership</t>
        </is>
      </c>
      <c r="D19" s="10" t="inlineStr">
        <is>
          <t>Day 4</t>
        </is>
      </c>
      <c r="E19" s="10" t="inlineStr">
        <is>
          <t>30 min</t>
        </is>
      </c>
      <c r="F19" s="10" t="inlineStr">
        <is>
          <t>☐ Not Started</t>
        </is>
      </c>
      <c r="G19" s="10">
        <f>IF(F19="☑ Completed", "COMPLETED", "NOT STARTED")</f>
        <v/>
      </c>
      <c r="H19" s="10" t="inlineStr">
        <is>
          <t>Day 7</t>
        </is>
      </c>
      <c r="I19" s="10" t="inlineStr">
        <is>
          <t>☐ Not Started</t>
        </is>
      </c>
      <c r="J19" s="10" t="inlineStr">
        <is>
          <t>Day 11</t>
        </is>
      </c>
      <c r="K19" s="10" t="inlineStr">
        <is>
          <t>☐ Not Started</t>
        </is>
      </c>
      <c r="L19" s="10" t="inlineStr"/>
    </row>
    <row r="20">
      <c r="A20" s="9" t="inlineStr">
        <is>
          <t>Python</t>
        </is>
      </c>
      <c r="B20" s="9" t="inlineStr">
        <is>
          <t>Operators</t>
        </is>
      </c>
      <c r="C20" s="9" t="inlineStr">
        <is>
          <t>Identity</t>
        </is>
      </c>
      <c r="D20" s="10" t="inlineStr">
        <is>
          <t>Day 4</t>
        </is>
      </c>
      <c r="E20" s="10" t="inlineStr">
        <is>
          <t>30 min</t>
        </is>
      </c>
      <c r="F20" s="10" t="inlineStr">
        <is>
          <t>☐ Not Started</t>
        </is>
      </c>
      <c r="G20" s="10">
        <f>IF(F20="☑ Completed", "COMPLETED", "NOT STARTED")</f>
        <v/>
      </c>
      <c r="H20" s="10" t="inlineStr">
        <is>
          <t>Day 7</t>
        </is>
      </c>
      <c r="I20" s="10" t="inlineStr">
        <is>
          <t>☐ Not Started</t>
        </is>
      </c>
      <c r="J20" s="10" t="inlineStr">
        <is>
          <t>Day 11</t>
        </is>
      </c>
      <c r="K20" s="10" t="inlineStr">
        <is>
          <t>☐ Not Started</t>
        </is>
      </c>
      <c r="L20" s="10" t="inlineStr"/>
    </row>
    <row r="21">
      <c r="A21" s="9" t="inlineStr">
        <is>
          <t>Python</t>
        </is>
      </c>
      <c r="B21" s="9" t="inlineStr">
        <is>
          <t>Data Structures</t>
        </is>
      </c>
      <c r="C21" s="9" t="inlineStr">
        <is>
          <t>Strings</t>
        </is>
      </c>
      <c r="D21" s="10" t="inlineStr">
        <is>
          <t>Day 4</t>
        </is>
      </c>
      <c r="E21" s="10" t="inlineStr">
        <is>
          <t>30 min</t>
        </is>
      </c>
      <c r="F21" s="10" t="inlineStr">
        <is>
          <t>☐ Not Started</t>
        </is>
      </c>
      <c r="G21" s="10">
        <f>IF(F21="☑ Completed", "COMPLETED", "NOT STARTED")</f>
        <v/>
      </c>
      <c r="H21" s="10" t="inlineStr">
        <is>
          <t>Day 7</t>
        </is>
      </c>
      <c r="I21" s="10" t="inlineStr">
        <is>
          <t>☐ Not Started</t>
        </is>
      </c>
      <c r="J21" s="10" t="inlineStr">
        <is>
          <t>Day 11</t>
        </is>
      </c>
      <c r="K21" s="10" t="inlineStr">
        <is>
          <t>☐ Not Started</t>
        </is>
      </c>
      <c r="L21" s="10" t="inlineStr"/>
    </row>
    <row r="22">
      <c r="A22" s="9" t="inlineStr">
        <is>
          <t>Python</t>
        </is>
      </c>
      <c r="B22" s="9" t="inlineStr">
        <is>
          <t>Data Structures</t>
        </is>
      </c>
      <c r="C22" s="9" t="inlineStr">
        <is>
          <t>String indexing</t>
        </is>
      </c>
      <c r="D22" s="10" t="inlineStr">
        <is>
          <t>Day 5</t>
        </is>
      </c>
      <c r="E22" s="10" t="inlineStr">
        <is>
          <t>45 min</t>
        </is>
      </c>
      <c r="F22" s="10" t="inlineStr">
        <is>
          <t>☐ Not Started</t>
        </is>
      </c>
      <c r="G22" s="10">
        <f>IF(F22="☑ Completed", "COMPLETED", "NOT STARTED")</f>
        <v/>
      </c>
      <c r="H22" s="10" t="inlineStr">
        <is>
          <t>Day 8</t>
        </is>
      </c>
      <c r="I22" s="10" t="inlineStr">
        <is>
          <t>☐ Not Started</t>
        </is>
      </c>
      <c r="J22" s="10" t="inlineStr">
        <is>
          <t>Day 12</t>
        </is>
      </c>
      <c r="K22" s="10" t="inlineStr">
        <is>
          <t>☐ Not Started</t>
        </is>
      </c>
      <c r="L22" s="10" t="inlineStr"/>
    </row>
    <row r="23">
      <c r="A23" s="9" t="inlineStr">
        <is>
          <t>Python</t>
        </is>
      </c>
      <c r="B23" s="9" t="inlineStr">
        <is>
          <t>Data Structures</t>
        </is>
      </c>
      <c r="C23" s="9" t="inlineStr">
        <is>
          <t>String slicing</t>
        </is>
      </c>
      <c r="D23" s="10" t="inlineStr">
        <is>
          <t>Day 5</t>
        </is>
      </c>
      <c r="E23" s="10" t="inlineStr">
        <is>
          <t>30 min</t>
        </is>
      </c>
      <c r="F23" s="10" t="inlineStr">
        <is>
          <t>☐ Not Started</t>
        </is>
      </c>
      <c r="G23" s="10">
        <f>IF(F23="☑ Completed", "COMPLETED", "NOT STARTED")</f>
        <v/>
      </c>
      <c r="H23" s="10" t="inlineStr">
        <is>
          <t>Day 8</t>
        </is>
      </c>
      <c r="I23" s="10" t="inlineStr">
        <is>
          <t>☐ Not Started</t>
        </is>
      </c>
      <c r="J23" s="10" t="inlineStr">
        <is>
          <t>Day 12</t>
        </is>
      </c>
      <c r="K23" s="10" t="inlineStr">
        <is>
          <t>☐ Not Started</t>
        </is>
      </c>
      <c r="L23" s="10" t="inlineStr"/>
    </row>
    <row r="24">
      <c r="A24" s="9" t="inlineStr">
        <is>
          <t>Python</t>
        </is>
      </c>
      <c r="B24" s="9" t="inlineStr">
        <is>
          <t>Data Structures</t>
        </is>
      </c>
      <c r="C24" s="9" t="inlineStr">
        <is>
          <t>String methods</t>
        </is>
      </c>
      <c r="D24" s="10" t="inlineStr">
        <is>
          <t>Day 5</t>
        </is>
      </c>
      <c r="E24" s="10" t="inlineStr">
        <is>
          <t>30 min</t>
        </is>
      </c>
      <c r="F24" s="10" t="inlineStr">
        <is>
          <t>☐ Not Started</t>
        </is>
      </c>
      <c r="G24" s="10">
        <f>IF(F24="☑ Completed", "COMPLETED", "NOT STARTED")</f>
        <v/>
      </c>
      <c r="H24" s="10" t="inlineStr">
        <is>
          <t>Day 8</t>
        </is>
      </c>
      <c r="I24" s="10" t="inlineStr">
        <is>
          <t>☐ Not Started</t>
        </is>
      </c>
      <c r="J24" s="10" t="inlineStr">
        <is>
          <t>Day 12</t>
        </is>
      </c>
      <c r="K24" s="10" t="inlineStr">
        <is>
          <t>☐ Not Started</t>
        </is>
      </c>
      <c r="L24" s="10" t="inlineStr"/>
    </row>
    <row r="25">
      <c r="A25" s="9" t="inlineStr">
        <is>
          <t>Python</t>
        </is>
      </c>
      <c r="B25" s="9" t="inlineStr">
        <is>
          <t>Data Structures</t>
        </is>
      </c>
      <c r="C25" s="9" t="inlineStr">
        <is>
          <t>Lists</t>
        </is>
      </c>
      <c r="D25" s="10" t="inlineStr">
        <is>
          <t>Day 5</t>
        </is>
      </c>
      <c r="E25" s="10" t="inlineStr">
        <is>
          <t>30 min</t>
        </is>
      </c>
      <c r="F25" s="10" t="inlineStr">
        <is>
          <t>☐ Not Started</t>
        </is>
      </c>
      <c r="G25" s="10">
        <f>IF(F25="☑ Completed", "COMPLETED", "NOT STARTED")</f>
        <v/>
      </c>
      <c r="H25" s="10" t="inlineStr">
        <is>
          <t>Day 8</t>
        </is>
      </c>
      <c r="I25" s="10" t="inlineStr">
        <is>
          <t>☐ Not Started</t>
        </is>
      </c>
      <c r="J25" s="10" t="inlineStr">
        <is>
          <t>Day 12</t>
        </is>
      </c>
      <c r="K25" s="10" t="inlineStr">
        <is>
          <t>☐ Not Started</t>
        </is>
      </c>
      <c r="L25" s="10" t="inlineStr"/>
    </row>
    <row r="26">
      <c r="A26" s="9" t="inlineStr">
        <is>
          <t>Python</t>
        </is>
      </c>
      <c r="B26" s="9" t="inlineStr">
        <is>
          <t>Data Structures</t>
        </is>
      </c>
      <c r="C26" s="9" t="inlineStr">
        <is>
          <t>List indexing</t>
        </is>
      </c>
      <c r="D26" s="10" t="inlineStr">
        <is>
          <t>Day 5</t>
        </is>
      </c>
      <c r="E26" s="10" t="inlineStr">
        <is>
          <t>30 min</t>
        </is>
      </c>
      <c r="F26" s="10" t="inlineStr">
        <is>
          <t>☐ Not Started</t>
        </is>
      </c>
      <c r="G26" s="10">
        <f>IF(F26="☑ Completed", "COMPLETED", "NOT STARTED")</f>
        <v/>
      </c>
      <c r="H26" s="10" t="inlineStr">
        <is>
          <t>Day 8</t>
        </is>
      </c>
      <c r="I26" s="10" t="inlineStr">
        <is>
          <t>☐ Not Started</t>
        </is>
      </c>
      <c r="J26" s="10" t="inlineStr">
        <is>
          <t>Day 12</t>
        </is>
      </c>
      <c r="K26" s="10" t="inlineStr">
        <is>
          <t>☐ Not Started</t>
        </is>
      </c>
      <c r="L26" s="10" t="inlineStr"/>
    </row>
    <row r="27">
      <c r="A27" s="9" t="inlineStr">
        <is>
          <t>Python</t>
        </is>
      </c>
      <c r="B27" s="9" t="inlineStr">
        <is>
          <t>Data Structures</t>
        </is>
      </c>
      <c r="C27" s="9" t="inlineStr">
        <is>
          <t>List slicing</t>
        </is>
      </c>
      <c r="D27" s="10" t="inlineStr">
        <is>
          <t>Day 6</t>
        </is>
      </c>
      <c r="E27" s="10" t="inlineStr">
        <is>
          <t>45 min</t>
        </is>
      </c>
      <c r="F27" s="10" t="inlineStr">
        <is>
          <t>☐ Not Started</t>
        </is>
      </c>
      <c r="G27" s="10">
        <f>IF(F27="☑ Completed", "COMPLETED", "NOT STARTED")</f>
        <v/>
      </c>
      <c r="H27" s="10" t="inlineStr">
        <is>
          <t>Day 9</t>
        </is>
      </c>
      <c r="I27" s="10" t="inlineStr">
        <is>
          <t>☐ Not Started</t>
        </is>
      </c>
      <c r="J27" s="10" t="inlineStr">
        <is>
          <t>Day 13</t>
        </is>
      </c>
      <c r="K27" s="10" t="inlineStr">
        <is>
          <t>☐ Not Started</t>
        </is>
      </c>
      <c r="L27" s="10" t="inlineStr"/>
    </row>
    <row r="28">
      <c r="A28" s="9" t="inlineStr">
        <is>
          <t>Python</t>
        </is>
      </c>
      <c r="B28" s="9" t="inlineStr">
        <is>
          <t>Data Structures</t>
        </is>
      </c>
      <c r="C28" s="9" t="inlineStr">
        <is>
          <t>List methods</t>
        </is>
      </c>
      <c r="D28" s="10" t="inlineStr">
        <is>
          <t>Day 6</t>
        </is>
      </c>
      <c r="E28" s="10" t="inlineStr">
        <is>
          <t>30 min</t>
        </is>
      </c>
      <c r="F28" s="10" t="inlineStr">
        <is>
          <t>☐ Not Started</t>
        </is>
      </c>
      <c r="G28" s="10">
        <f>IF(F28="☑ Completed", "COMPLETED", "NOT STARTED")</f>
        <v/>
      </c>
      <c r="H28" s="10" t="inlineStr">
        <is>
          <t>Day 9</t>
        </is>
      </c>
      <c r="I28" s="10" t="inlineStr">
        <is>
          <t>☐ Not Started</t>
        </is>
      </c>
      <c r="J28" s="10" t="inlineStr">
        <is>
          <t>Day 13</t>
        </is>
      </c>
      <c r="K28" s="10" t="inlineStr">
        <is>
          <t>☐ Not Started</t>
        </is>
      </c>
      <c r="L28" s="10" t="inlineStr"/>
    </row>
    <row r="29">
      <c r="A29" s="9" t="inlineStr">
        <is>
          <t>Python</t>
        </is>
      </c>
      <c r="B29" s="9" t="inlineStr">
        <is>
          <t>Data Structures</t>
        </is>
      </c>
      <c r="C29" s="9" t="inlineStr">
        <is>
          <t>Tuples</t>
        </is>
      </c>
      <c r="D29" s="10" t="inlineStr">
        <is>
          <t>Day 6</t>
        </is>
      </c>
      <c r="E29" s="10" t="inlineStr">
        <is>
          <t>30 min</t>
        </is>
      </c>
      <c r="F29" s="10" t="inlineStr">
        <is>
          <t>☐ Not Started</t>
        </is>
      </c>
      <c r="G29" s="10">
        <f>IF(F29="☑ Completed", "COMPLETED", "NOT STARTED")</f>
        <v/>
      </c>
      <c r="H29" s="10" t="inlineStr">
        <is>
          <t>Day 9</t>
        </is>
      </c>
      <c r="I29" s="10" t="inlineStr">
        <is>
          <t>☐ Not Started</t>
        </is>
      </c>
      <c r="J29" s="10" t="inlineStr">
        <is>
          <t>Day 13</t>
        </is>
      </c>
      <c r="K29" s="10" t="inlineStr">
        <is>
          <t>☐ Not Started</t>
        </is>
      </c>
      <c r="L29" s="10" t="inlineStr"/>
    </row>
    <row r="30">
      <c r="A30" s="9" t="inlineStr">
        <is>
          <t>Python</t>
        </is>
      </c>
      <c r="B30" s="9" t="inlineStr">
        <is>
          <t>Data Structures</t>
        </is>
      </c>
      <c r="C30" s="9" t="inlineStr">
        <is>
          <t>Tuple methods</t>
        </is>
      </c>
      <c r="D30" s="10" t="inlineStr">
        <is>
          <t>Day 6</t>
        </is>
      </c>
      <c r="E30" s="10" t="inlineStr">
        <is>
          <t>30 min</t>
        </is>
      </c>
      <c r="F30" s="10" t="inlineStr">
        <is>
          <t>☐ Not Started</t>
        </is>
      </c>
      <c r="G30" s="10">
        <f>IF(F30="☑ Completed", "COMPLETED", "NOT STARTED")</f>
        <v/>
      </c>
      <c r="H30" s="10" t="inlineStr">
        <is>
          <t>Day 9</t>
        </is>
      </c>
      <c r="I30" s="10" t="inlineStr">
        <is>
          <t>☐ Not Started</t>
        </is>
      </c>
      <c r="J30" s="10" t="inlineStr">
        <is>
          <t>Day 13</t>
        </is>
      </c>
      <c r="K30" s="10" t="inlineStr">
        <is>
          <t>☐ Not Started</t>
        </is>
      </c>
      <c r="L30" s="10" t="inlineStr"/>
    </row>
    <row r="31">
      <c r="A31" s="9" t="inlineStr">
        <is>
          <t>Python</t>
        </is>
      </c>
      <c r="B31" s="9" t="inlineStr">
        <is>
          <t>Data Structures</t>
        </is>
      </c>
      <c r="C31" s="9" t="inlineStr">
        <is>
          <t>Sets</t>
        </is>
      </c>
      <c r="D31" s="10" t="inlineStr">
        <is>
          <t>Day 6</t>
        </is>
      </c>
      <c r="E31" s="10" t="inlineStr">
        <is>
          <t>30 min</t>
        </is>
      </c>
      <c r="F31" s="10" t="inlineStr">
        <is>
          <t>☐ Not Started</t>
        </is>
      </c>
      <c r="G31" s="10">
        <f>IF(F31="☑ Completed", "COMPLETED", "NOT STARTED")</f>
        <v/>
      </c>
      <c r="H31" s="10" t="inlineStr">
        <is>
          <t>Day 9</t>
        </is>
      </c>
      <c r="I31" s="10" t="inlineStr">
        <is>
          <t>☐ Not Started</t>
        </is>
      </c>
      <c r="J31" s="10" t="inlineStr">
        <is>
          <t>Day 13</t>
        </is>
      </c>
      <c r="K31" s="10" t="inlineStr">
        <is>
          <t>☐ Not Started</t>
        </is>
      </c>
      <c r="L31" s="10" t="inlineStr"/>
    </row>
    <row r="32">
      <c r="A32" s="9" t="inlineStr">
        <is>
          <t>Python</t>
        </is>
      </c>
      <c r="B32" s="9" t="inlineStr">
        <is>
          <t>Data Structures</t>
        </is>
      </c>
      <c r="C32" s="9" t="inlineStr">
        <is>
          <t>Set operations</t>
        </is>
      </c>
      <c r="D32" s="10" t="inlineStr">
        <is>
          <t>Day 7</t>
        </is>
      </c>
      <c r="E32" s="10" t="inlineStr">
        <is>
          <t>45 min</t>
        </is>
      </c>
      <c r="F32" s="10" t="inlineStr">
        <is>
          <t>☐ Not Started</t>
        </is>
      </c>
      <c r="G32" s="10">
        <f>IF(F32="☑ Completed", "COMPLETED", "NOT STARTED")</f>
        <v/>
      </c>
      <c r="H32" s="10" t="inlineStr">
        <is>
          <t>Day 10</t>
        </is>
      </c>
      <c r="I32" s="10" t="inlineStr">
        <is>
          <t>☐ Not Started</t>
        </is>
      </c>
      <c r="J32" s="10" t="inlineStr">
        <is>
          <t>Day 14</t>
        </is>
      </c>
      <c r="K32" s="10" t="inlineStr">
        <is>
          <t>☐ Not Started</t>
        </is>
      </c>
      <c r="L32" s="10" t="inlineStr"/>
    </row>
    <row r="33">
      <c r="A33" s="9" t="inlineStr">
        <is>
          <t>Python</t>
        </is>
      </c>
      <c r="B33" s="9" t="inlineStr">
        <is>
          <t>Data Structures</t>
        </is>
      </c>
      <c r="C33" s="9" t="inlineStr">
        <is>
          <t>Dictionaries</t>
        </is>
      </c>
      <c r="D33" s="10" t="inlineStr">
        <is>
          <t>Day 7</t>
        </is>
      </c>
      <c r="E33" s="10" t="inlineStr">
        <is>
          <t>30 min</t>
        </is>
      </c>
      <c r="F33" s="10" t="inlineStr">
        <is>
          <t>☐ Not Started</t>
        </is>
      </c>
      <c r="G33" s="10">
        <f>IF(F33="☑ Completed", "COMPLETED", "NOT STARTED")</f>
        <v/>
      </c>
      <c r="H33" s="10" t="inlineStr">
        <is>
          <t>Day 10</t>
        </is>
      </c>
      <c r="I33" s="10" t="inlineStr">
        <is>
          <t>☐ Not Started</t>
        </is>
      </c>
      <c r="J33" s="10" t="inlineStr">
        <is>
          <t>Day 14</t>
        </is>
      </c>
      <c r="K33" s="10" t="inlineStr">
        <is>
          <t>☐ Not Started</t>
        </is>
      </c>
      <c r="L33" s="10" t="inlineStr"/>
    </row>
    <row r="34">
      <c r="A34" s="9" t="inlineStr">
        <is>
          <t>Python</t>
        </is>
      </c>
      <c r="B34" s="9" t="inlineStr">
        <is>
          <t>Data Structures</t>
        </is>
      </c>
      <c r="C34" s="9" t="inlineStr">
        <is>
          <t>Dictionary methods</t>
        </is>
      </c>
      <c r="D34" s="10" t="inlineStr">
        <is>
          <t>Day 7</t>
        </is>
      </c>
      <c r="E34" s="10" t="inlineStr">
        <is>
          <t>30 min</t>
        </is>
      </c>
      <c r="F34" s="10" t="inlineStr">
        <is>
          <t>☐ Not Started</t>
        </is>
      </c>
      <c r="G34" s="10">
        <f>IF(F34="☑ Completed", "COMPLETED", "NOT STARTED")</f>
        <v/>
      </c>
      <c r="H34" s="10" t="inlineStr">
        <is>
          <t>Day 10</t>
        </is>
      </c>
      <c r="I34" s="10" t="inlineStr">
        <is>
          <t>☐ Not Started</t>
        </is>
      </c>
      <c r="J34" s="10" t="inlineStr">
        <is>
          <t>Day 14</t>
        </is>
      </c>
      <c r="K34" s="10" t="inlineStr">
        <is>
          <t>☐ Not Started</t>
        </is>
      </c>
      <c r="L34" s="10" t="inlineStr"/>
    </row>
    <row r="35">
      <c r="A35" s="9" t="inlineStr">
        <is>
          <t>Python</t>
        </is>
      </c>
      <c r="B35" s="9" t="inlineStr">
        <is>
          <t>Control Flow</t>
        </is>
      </c>
      <c r="C35" s="9" t="inlineStr">
        <is>
          <t>if</t>
        </is>
      </c>
      <c r="D35" s="10" t="inlineStr">
        <is>
          <t>Day 7</t>
        </is>
      </c>
      <c r="E35" s="10" t="inlineStr">
        <is>
          <t>30 min</t>
        </is>
      </c>
      <c r="F35" s="10" t="inlineStr">
        <is>
          <t>☐ Not Started</t>
        </is>
      </c>
      <c r="G35" s="10">
        <f>IF(F35="☑ Completed", "COMPLETED", "NOT STARTED")</f>
        <v/>
      </c>
      <c r="H35" s="10" t="inlineStr">
        <is>
          <t>Day 10</t>
        </is>
      </c>
      <c r="I35" s="10" t="inlineStr">
        <is>
          <t>☐ Not Started</t>
        </is>
      </c>
      <c r="J35" s="10" t="inlineStr">
        <is>
          <t>Day 14</t>
        </is>
      </c>
      <c r="K35" s="10" t="inlineStr">
        <is>
          <t>☐ Not Started</t>
        </is>
      </c>
      <c r="L35" s="10" t="inlineStr"/>
    </row>
    <row r="36">
      <c r="A36" s="9" t="inlineStr">
        <is>
          <t>Python</t>
        </is>
      </c>
      <c r="B36" s="9" t="inlineStr">
        <is>
          <t>Control Flow</t>
        </is>
      </c>
      <c r="C36" s="9" t="inlineStr">
        <is>
          <t>elif</t>
        </is>
      </c>
      <c r="D36" s="10" t="inlineStr">
        <is>
          <t>Day 7</t>
        </is>
      </c>
      <c r="E36" s="10" t="inlineStr">
        <is>
          <t>30 min</t>
        </is>
      </c>
      <c r="F36" s="10" t="inlineStr">
        <is>
          <t>☐ Not Started</t>
        </is>
      </c>
      <c r="G36" s="10">
        <f>IF(F36="☑ Completed", "COMPLETED", "NOT STARTED")</f>
        <v/>
      </c>
      <c r="H36" s="10" t="inlineStr">
        <is>
          <t>Day 10</t>
        </is>
      </c>
      <c r="I36" s="10" t="inlineStr">
        <is>
          <t>☐ Not Started</t>
        </is>
      </c>
      <c r="J36" s="10" t="inlineStr">
        <is>
          <t>Day 14</t>
        </is>
      </c>
      <c r="K36" s="10" t="inlineStr">
        <is>
          <t>☐ Not Started</t>
        </is>
      </c>
      <c r="L36" s="10" t="inlineStr"/>
    </row>
    <row r="37">
      <c r="A37" s="9" t="inlineStr">
        <is>
          <t>Python</t>
        </is>
      </c>
      <c r="B37" s="9" t="inlineStr">
        <is>
          <t>Control Flow</t>
        </is>
      </c>
      <c r="C37" s="9" t="inlineStr">
        <is>
          <t>else</t>
        </is>
      </c>
      <c r="D37" s="10" t="inlineStr">
        <is>
          <t>Day 8</t>
        </is>
      </c>
      <c r="E37" s="10" t="inlineStr">
        <is>
          <t>45 min</t>
        </is>
      </c>
      <c r="F37" s="10" t="inlineStr">
        <is>
          <t>☐ Not Started</t>
        </is>
      </c>
      <c r="G37" s="10">
        <f>IF(F37="☑ Completed", "COMPLETED", "NOT STARTED")</f>
        <v/>
      </c>
      <c r="H37" s="10" t="inlineStr">
        <is>
          <t>Day 11</t>
        </is>
      </c>
      <c r="I37" s="10" t="inlineStr">
        <is>
          <t>☐ Not Started</t>
        </is>
      </c>
      <c r="J37" s="10" t="inlineStr">
        <is>
          <t>Day 15</t>
        </is>
      </c>
      <c r="K37" s="10" t="inlineStr">
        <is>
          <t>☐ Not Started</t>
        </is>
      </c>
      <c r="L37" s="10" t="inlineStr"/>
    </row>
    <row r="38">
      <c r="A38" s="9" t="inlineStr">
        <is>
          <t>Python</t>
        </is>
      </c>
      <c r="B38" s="9" t="inlineStr">
        <is>
          <t>Control Flow</t>
        </is>
      </c>
      <c r="C38" s="9" t="inlineStr">
        <is>
          <t>Nested conditions</t>
        </is>
      </c>
      <c r="D38" s="10" t="inlineStr">
        <is>
          <t>Day 8</t>
        </is>
      </c>
      <c r="E38" s="10" t="inlineStr">
        <is>
          <t>30 min</t>
        </is>
      </c>
      <c r="F38" s="10" t="inlineStr">
        <is>
          <t>☐ Not Started</t>
        </is>
      </c>
      <c r="G38" s="10">
        <f>IF(F38="☑ Completed", "COMPLETED", "NOT STARTED")</f>
        <v/>
      </c>
      <c r="H38" s="10" t="inlineStr">
        <is>
          <t>Day 11</t>
        </is>
      </c>
      <c r="I38" s="10" t="inlineStr">
        <is>
          <t>☐ Not Started</t>
        </is>
      </c>
      <c r="J38" s="10" t="inlineStr">
        <is>
          <t>Day 15</t>
        </is>
      </c>
      <c r="K38" s="10" t="inlineStr">
        <is>
          <t>☐ Not Started</t>
        </is>
      </c>
      <c r="L38" s="10" t="inlineStr"/>
    </row>
    <row r="39">
      <c r="A39" s="9" t="inlineStr">
        <is>
          <t>Python</t>
        </is>
      </c>
      <c r="B39" s="9" t="inlineStr">
        <is>
          <t>Control Flow</t>
        </is>
      </c>
      <c r="C39" s="9" t="inlineStr">
        <is>
          <t>for loop</t>
        </is>
      </c>
      <c r="D39" s="10" t="inlineStr">
        <is>
          <t>Day 8</t>
        </is>
      </c>
      <c r="E39" s="10" t="inlineStr">
        <is>
          <t>30 min</t>
        </is>
      </c>
      <c r="F39" s="10" t="inlineStr">
        <is>
          <t>☐ Not Started</t>
        </is>
      </c>
      <c r="G39" s="10">
        <f>IF(F39="☑ Completed", "COMPLETED", "NOT STARTED")</f>
        <v/>
      </c>
      <c r="H39" s="10" t="inlineStr">
        <is>
          <t>Day 11</t>
        </is>
      </c>
      <c r="I39" s="10" t="inlineStr">
        <is>
          <t>☐ Not Started</t>
        </is>
      </c>
      <c r="J39" s="10" t="inlineStr">
        <is>
          <t>Day 15</t>
        </is>
      </c>
      <c r="K39" s="10" t="inlineStr">
        <is>
          <t>☐ Not Started</t>
        </is>
      </c>
      <c r="L39" s="10" t="inlineStr"/>
    </row>
    <row r="40">
      <c r="A40" s="9" t="inlineStr">
        <is>
          <t>Python</t>
        </is>
      </c>
      <c r="B40" s="9" t="inlineStr">
        <is>
          <t>Control Flow</t>
        </is>
      </c>
      <c r="C40" s="9" t="inlineStr">
        <is>
          <t>while loop</t>
        </is>
      </c>
      <c r="D40" s="10" t="inlineStr">
        <is>
          <t>Day 8</t>
        </is>
      </c>
      <c r="E40" s="10" t="inlineStr">
        <is>
          <t>30 min</t>
        </is>
      </c>
      <c r="F40" s="10" t="inlineStr">
        <is>
          <t>☐ Not Started</t>
        </is>
      </c>
      <c r="G40" s="10">
        <f>IF(F40="☑ Completed", "COMPLETED", "NOT STARTED")</f>
        <v/>
      </c>
      <c r="H40" s="10" t="inlineStr">
        <is>
          <t>Day 11</t>
        </is>
      </c>
      <c r="I40" s="10" t="inlineStr">
        <is>
          <t>☐ Not Started</t>
        </is>
      </c>
      <c r="J40" s="10" t="inlineStr">
        <is>
          <t>Day 15</t>
        </is>
      </c>
      <c r="K40" s="10" t="inlineStr">
        <is>
          <t>☐ Not Started</t>
        </is>
      </c>
      <c r="L40" s="10" t="inlineStr"/>
    </row>
    <row r="41">
      <c r="A41" s="9" t="inlineStr">
        <is>
          <t>Python</t>
        </is>
      </c>
      <c r="B41" s="9" t="inlineStr">
        <is>
          <t>Control Flow</t>
        </is>
      </c>
      <c r="C41" s="9" t="inlineStr">
        <is>
          <t>break</t>
        </is>
      </c>
      <c r="D41" s="10" t="inlineStr">
        <is>
          <t>Day 8</t>
        </is>
      </c>
      <c r="E41" s="10" t="inlineStr">
        <is>
          <t>30 min</t>
        </is>
      </c>
      <c r="F41" s="10" t="inlineStr">
        <is>
          <t>☐ Not Started</t>
        </is>
      </c>
      <c r="G41" s="10">
        <f>IF(F41="☑ Completed", "COMPLETED", "NOT STARTED")</f>
        <v/>
      </c>
      <c r="H41" s="10" t="inlineStr">
        <is>
          <t>Day 11</t>
        </is>
      </c>
      <c r="I41" s="10" t="inlineStr">
        <is>
          <t>☐ Not Started</t>
        </is>
      </c>
      <c r="J41" s="10" t="inlineStr">
        <is>
          <t>Day 15</t>
        </is>
      </c>
      <c r="K41" s="10" t="inlineStr">
        <is>
          <t>☐ Not Started</t>
        </is>
      </c>
      <c r="L41" s="10" t="inlineStr"/>
    </row>
    <row r="42">
      <c r="A42" s="9" t="inlineStr">
        <is>
          <t>Python</t>
        </is>
      </c>
      <c r="B42" s="9" t="inlineStr">
        <is>
          <t>Control Flow</t>
        </is>
      </c>
      <c r="C42" s="9" t="inlineStr">
        <is>
          <t>continue</t>
        </is>
      </c>
      <c r="D42" s="10" t="inlineStr">
        <is>
          <t>Day 9</t>
        </is>
      </c>
      <c r="E42" s="10" t="inlineStr">
        <is>
          <t>45 min</t>
        </is>
      </c>
      <c r="F42" s="10" t="inlineStr">
        <is>
          <t>☐ Not Started</t>
        </is>
      </c>
      <c r="G42" s="10">
        <f>IF(F42="☑ Completed", "COMPLETED", "NOT STARTED")</f>
        <v/>
      </c>
      <c r="H42" s="10" t="inlineStr">
        <is>
          <t>Day 12</t>
        </is>
      </c>
      <c r="I42" s="10" t="inlineStr">
        <is>
          <t>☐ Not Started</t>
        </is>
      </c>
      <c r="J42" s="10" t="inlineStr">
        <is>
          <t>Day 16</t>
        </is>
      </c>
      <c r="K42" s="10" t="inlineStr">
        <is>
          <t>☐ Not Started</t>
        </is>
      </c>
      <c r="L42" s="10" t="inlineStr"/>
    </row>
    <row r="43">
      <c r="A43" s="9" t="inlineStr">
        <is>
          <t>Python</t>
        </is>
      </c>
      <c r="B43" s="9" t="inlineStr">
        <is>
          <t>Control Flow</t>
        </is>
      </c>
      <c r="C43" s="9" t="inlineStr">
        <is>
          <t>pass</t>
        </is>
      </c>
      <c r="D43" s="10" t="inlineStr">
        <is>
          <t>Day 9</t>
        </is>
      </c>
      <c r="E43" s="10" t="inlineStr">
        <is>
          <t>30 min</t>
        </is>
      </c>
      <c r="F43" s="10" t="inlineStr">
        <is>
          <t>☐ Not Started</t>
        </is>
      </c>
      <c r="G43" s="10">
        <f>IF(F43="☑ Completed", "COMPLETED", "NOT STARTED")</f>
        <v/>
      </c>
      <c r="H43" s="10" t="inlineStr">
        <is>
          <t>Day 12</t>
        </is>
      </c>
      <c r="I43" s="10" t="inlineStr">
        <is>
          <t>☐ Not Started</t>
        </is>
      </c>
      <c r="J43" s="10" t="inlineStr">
        <is>
          <t>Day 16</t>
        </is>
      </c>
      <c r="K43" s="10" t="inlineStr">
        <is>
          <t>☐ Not Started</t>
        </is>
      </c>
      <c r="L43" s="10" t="inlineStr"/>
    </row>
    <row r="44">
      <c r="A44" s="9" t="inlineStr">
        <is>
          <t>Python</t>
        </is>
      </c>
      <c r="B44" s="9" t="inlineStr">
        <is>
          <t>Control Flow</t>
        </is>
      </c>
      <c r="C44" s="9" t="inlineStr">
        <is>
          <t>range()</t>
        </is>
      </c>
      <c r="D44" s="10" t="inlineStr">
        <is>
          <t>Day 9</t>
        </is>
      </c>
      <c r="E44" s="10" t="inlineStr">
        <is>
          <t>30 min</t>
        </is>
      </c>
      <c r="F44" s="10" t="inlineStr">
        <is>
          <t>☐ Not Started</t>
        </is>
      </c>
      <c r="G44" s="10">
        <f>IF(F44="☑ Completed", "COMPLETED", "NOT STARTED")</f>
        <v/>
      </c>
      <c r="H44" s="10" t="inlineStr">
        <is>
          <t>Day 12</t>
        </is>
      </c>
      <c r="I44" s="10" t="inlineStr">
        <is>
          <t>☐ Not Started</t>
        </is>
      </c>
      <c r="J44" s="10" t="inlineStr">
        <is>
          <t>Day 16</t>
        </is>
      </c>
      <c r="K44" s="10" t="inlineStr">
        <is>
          <t>☐ Not Started</t>
        </is>
      </c>
      <c r="L44" s="10" t="inlineStr"/>
    </row>
    <row r="45">
      <c r="A45" s="9" t="inlineStr">
        <is>
          <t>Python</t>
        </is>
      </c>
      <c r="B45" s="9" t="inlineStr">
        <is>
          <t>Functions</t>
        </is>
      </c>
      <c r="C45" s="9" t="inlineStr">
        <is>
          <t>Function arguments</t>
        </is>
      </c>
      <c r="D45" s="10" t="inlineStr">
        <is>
          <t>Day 9</t>
        </is>
      </c>
      <c r="E45" s="10" t="inlineStr">
        <is>
          <t>30 min</t>
        </is>
      </c>
      <c r="F45" s="10" t="inlineStr">
        <is>
          <t>☐ Not Started</t>
        </is>
      </c>
      <c r="G45" s="10">
        <f>IF(F45="☑ Completed", "COMPLETED", "NOT STARTED")</f>
        <v/>
      </c>
      <c r="H45" s="10" t="inlineStr">
        <is>
          <t>Day 12</t>
        </is>
      </c>
      <c r="I45" s="10" t="inlineStr">
        <is>
          <t>☐ Not Started</t>
        </is>
      </c>
      <c r="J45" s="10" t="inlineStr">
        <is>
          <t>Day 16</t>
        </is>
      </c>
      <c r="K45" s="10" t="inlineStr">
        <is>
          <t>☐ Not Started</t>
        </is>
      </c>
      <c r="L45" s="10" t="inlineStr"/>
    </row>
    <row r="46">
      <c r="A46" s="9" t="inlineStr">
        <is>
          <t>Python</t>
        </is>
      </c>
      <c r="B46" s="9" t="inlineStr">
        <is>
          <t>Functions</t>
        </is>
      </c>
      <c r="C46" s="9" t="inlineStr">
        <is>
          <t>Default arguments</t>
        </is>
      </c>
      <c r="D46" s="10" t="inlineStr">
        <is>
          <t>Day 9</t>
        </is>
      </c>
      <c r="E46" s="10" t="inlineStr">
        <is>
          <t>30 min</t>
        </is>
      </c>
      <c r="F46" s="10" t="inlineStr">
        <is>
          <t>☐ Not Started</t>
        </is>
      </c>
      <c r="G46" s="10">
        <f>IF(F46="☑ Completed", "COMPLETED", "NOT STARTED")</f>
        <v/>
      </c>
      <c r="H46" s="10" t="inlineStr">
        <is>
          <t>Day 12</t>
        </is>
      </c>
      <c r="I46" s="10" t="inlineStr">
        <is>
          <t>☐ Not Started</t>
        </is>
      </c>
      <c r="J46" s="10" t="inlineStr">
        <is>
          <t>Day 16</t>
        </is>
      </c>
      <c r="K46" s="10" t="inlineStr">
        <is>
          <t>☐ Not Started</t>
        </is>
      </c>
      <c r="L46" s="10" t="inlineStr"/>
    </row>
    <row r="47">
      <c r="A47" s="9" t="inlineStr">
        <is>
          <t>Python</t>
        </is>
      </c>
      <c r="B47" s="9" t="inlineStr">
        <is>
          <t>Functions</t>
        </is>
      </c>
      <c r="C47" s="9" t="inlineStr">
        <is>
          <t>Keyword arguments</t>
        </is>
      </c>
      <c r="D47" s="10" t="inlineStr">
        <is>
          <t>Day 10</t>
        </is>
      </c>
      <c r="E47" s="10" t="inlineStr">
        <is>
          <t>45 min</t>
        </is>
      </c>
      <c r="F47" s="10" t="inlineStr">
        <is>
          <t>☐ Not Started</t>
        </is>
      </c>
      <c r="G47" s="10">
        <f>IF(F47="☑ Completed", "COMPLETED", "NOT STARTED")</f>
        <v/>
      </c>
      <c r="H47" s="10" t="inlineStr">
        <is>
          <t>Day 13</t>
        </is>
      </c>
      <c r="I47" s="10" t="inlineStr">
        <is>
          <t>☐ Not Started</t>
        </is>
      </c>
      <c r="J47" s="10" t="inlineStr">
        <is>
          <t>Day 17</t>
        </is>
      </c>
      <c r="K47" s="10" t="inlineStr">
        <is>
          <t>☐ Not Started</t>
        </is>
      </c>
      <c r="L47" s="10" t="inlineStr"/>
    </row>
    <row r="48">
      <c r="A48" s="9" t="inlineStr">
        <is>
          <t>Python</t>
        </is>
      </c>
      <c r="B48" s="9" t="inlineStr">
        <is>
          <t>Functions</t>
        </is>
      </c>
      <c r="C48" s="9" t="inlineStr">
        <is>
          <t>*args</t>
        </is>
      </c>
      <c r="D48" s="10" t="inlineStr">
        <is>
          <t>Day 10</t>
        </is>
      </c>
      <c r="E48" s="10" t="inlineStr">
        <is>
          <t>30 min</t>
        </is>
      </c>
      <c r="F48" s="10" t="inlineStr">
        <is>
          <t>☐ Not Started</t>
        </is>
      </c>
      <c r="G48" s="10">
        <f>IF(F48="☑ Completed", "COMPLETED", "NOT STARTED")</f>
        <v/>
      </c>
      <c r="H48" s="10" t="inlineStr">
        <is>
          <t>Day 13</t>
        </is>
      </c>
      <c r="I48" s="10" t="inlineStr">
        <is>
          <t>☐ Not Started</t>
        </is>
      </c>
      <c r="J48" s="10" t="inlineStr">
        <is>
          <t>Day 17</t>
        </is>
      </c>
      <c r="K48" s="10" t="inlineStr">
        <is>
          <t>☐ Not Started</t>
        </is>
      </c>
      <c r="L48" s="10" t="inlineStr"/>
    </row>
    <row r="49">
      <c r="A49" s="9" t="inlineStr">
        <is>
          <t>Python</t>
        </is>
      </c>
      <c r="B49" s="9" t="inlineStr">
        <is>
          <t>Functions</t>
        </is>
      </c>
      <c r="C49" s="9" t="inlineStr">
        <is>
          <t>**kwargs</t>
        </is>
      </c>
      <c r="D49" s="10" t="inlineStr">
        <is>
          <t>Day 10</t>
        </is>
      </c>
      <c r="E49" s="10" t="inlineStr">
        <is>
          <t>30 min</t>
        </is>
      </c>
      <c r="F49" s="10" t="inlineStr">
        <is>
          <t>☐ Not Started</t>
        </is>
      </c>
      <c r="G49" s="10">
        <f>IF(F49="☑ Completed", "COMPLETED", "NOT STARTED")</f>
        <v/>
      </c>
      <c r="H49" s="10" t="inlineStr">
        <is>
          <t>Day 13</t>
        </is>
      </c>
      <c r="I49" s="10" t="inlineStr">
        <is>
          <t>☐ Not Started</t>
        </is>
      </c>
      <c r="J49" s="10" t="inlineStr">
        <is>
          <t>Day 17</t>
        </is>
      </c>
      <c r="K49" s="10" t="inlineStr">
        <is>
          <t>☐ Not Started</t>
        </is>
      </c>
      <c r="L49" s="10" t="inlineStr"/>
    </row>
    <row r="50">
      <c r="A50" s="9" t="inlineStr">
        <is>
          <t>Python</t>
        </is>
      </c>
      <c r="B50" s="9" t="inlineStr">
        <is>
          <t>Functions</t>
        </is>
      </c>
      <c r="C50" s="9" t="inlineStr">
        <is>
          <t>Return statement</t>
        </is>
      </c>
      <c r="D50" s="10" t="inlineStr">
        <is>
          <t>Day 10</t>
        </is>
      </c>
      <c r="E50" s="10" t="inlineStr">
        <is>
          <t>30 min</t>
        </is>
      </c>
      <c r="F50" s="10" t="inlineStr">
        <is>
          <t>☐ Not Started</t>
        </is>
      </c>
      <c r="G50" s="10">
        <f>IF(F50="☑ Completed", "COMPLETED", "NOT STARTED")</f>
        <v/>
      </c>
      <c r="H50" s="10" t="inlineStr">
        <is>
          <t>Day 13</t>
        </is>
      </c>
      <c r="I50" s="10" t="inlineStr">
        <is>
          <t>☐ Not Started</t>
        </is>
      </c>
      <c r="J50" s="10" t="inlineStr">
        <is>
          <t>Day 17</t>
        </is>
      </c>
      <c r="K50" s="10" t="inlineStr">
        <is>
          <t>☐ Not Started</t>
        </is>
      </c>
      <c r="L50" s="10" t="inlineStr"/>
    </row>
    <row r="51">
      <c r="A51" s="9" t="inlineStr">
        <is>
          <t>Python</t>
        </is>
      </c>
      <c r="B51" s="9" t="inlineStr">
        <is>
          <t>Functions</t>
        </is>
      </c>
      <c r="C51" s="9" t="inlineStr">
        <is>
          <t>Lambda</t>
        </is>
      </c>
      <c r="D51" s="10" t="inlineStr">
        <is>
          <t>Day 10</t>
        </is>
      </c>
      <c r="E51" s="10" t="inlineStr">
        <is>
          <t>30 min</t>
        </is>
      </c>
      <c r="F51" s="10" t="inlineStr">
        <is>
          <t>☐ Not Started</t>
        </is>
      </c>
      <c r="G51" s="10">
        <f>IF(F51="☑ Completed", "COMPLETED", "NOT STARTED")</f>
        <v/>
      </c>
      <c r="H51" s="10" t="inlineStr">
        <is>
          <t>Day 13</t>
        </is>
      </c>
      <c r="I51" s="10" t="inlineStr">
        <is>
          <t>☐ Not Started</t>
        </is>
      </c>
      <c r="J51" s="10" t="inlineStr">
        <is>
          <t>Day 17</t>
        </is>
      </c>
      <c r="K51" s="10" t="inlineStr">
        <is>
          <t>☐ Not Started</t>
        </is>
      </c>
      <c r="L51" s="10" t="inlineStr"/>
    </row>
    <row r="52">
      <c r="A52" s="9" t="inlineStr">
        <is>
          <t>Python</t>
        </is>
      </c>
      <c r="B52" s="9" t="inlineStr">
        <is>
          <t>Functions</t>
        </is>
      </c>
      <c r="C52" s="9" t="inlineStr">
        <is>
          <t>Map</t>
        </is>
      </c>
      <c r="D52" s="10" t="inlineStr">
        <is>
          <t>Day 11</t>
        </is>
      </c>
      <c r="E52" s="10" t="inlineStr">
        <is>
          <t>45 min</t>
        </is>
      </c>
      <c r="F52" s="10" t="inlineStr">
        <is>
          <t>☐ Not Started</t>
        </is>
      </c>
      <c r="G52" s="10">
        <f>IF(F52="☑ Completed", "COMPLETED", "NOT STARTED")</f>
        <v/>
      </c>
      <c r="H52" s="10" t="inlineStr">
        <is>
          <t>Day 14</t>
        </is>
      </c>
      <c r="I52" s="10" t="inlineStr">
        <is>
          <t>☐ Not Started</t>
        </is>
      </c>
      <c r="J52" s="10" t="inlineStr">
        <is>
          <t>Day 18</t>
        </is>
      </c>
      <c r="K52" s="10" t="inlineStr">
        <is>
          <t>☐ Not Started</t>
        </is>
      </c>
      <c r="L52" s="10" t="inlineStr"/>
    </row>
    <row r="53">
      <c r="A53" s="9" t="inlineStr">
        <is>
          <t>Python</t>
        </is>
      </c>
      <c r="B53" s="9" t="inlineStr">
        <is>
          <t>Functions</t>
        </is>
      </c>
      <c r="C53" s="9" t="inlineStr">
        <is>
          <t>Filter</t>
        </is>
      </c>
      <c r="D53" s="10" t="inlineStr">
        <is>
          <t>Day 11</t>
        </is>
      </c>
      <c r="E53" s="10" t="inlineStr">
        <is>
          <t>30 min</t>
        </is>
      </c>
      <c r="F53" s="10" t="inlineStr">
        <is>
          <t>☐ Not Started</t>
        </is>
      </c>
      <c r="G53" s="10">
        <f>IF(F53="☑ Completed", "COMPLETED", "NOT STARTED")</f>
        <v/>
      </c>
      <c r="H53" s="10" t="inlineStr">
        <is>
          <t>Day 14</t>
        </is>
      </c>
      <c r="I53" s="10" t="inlineStr">
        <is>
          <t>☐ Not Started</t>
        </is>
      </c>
      <c r="J53" s="10" t="inlineStr">
        <is>
          <t>Day 18</t>
        </is>
      </c>
      <c r="K53" s="10" t="inlineStr">
        <is>
          <t>☐ Not Started</t>
        </is>
      </c>
      <c r="L53" s="10" t="inlineStr"/>
    </row>
    <row r="54">
      <c r="A54" s="9" t="inlineStr">
        <is>
          <t>Python</t>
        </is>
      </c>
      <c r="B54" s="9" t="inlineStr">
        <is>
          <t>Functions</t>
        </is>
      </c>
      <c r="C54" s="9" t="inlineStr">
        <is>
          <t>Reduce</t>
        </is>
      </c>
      <c r="D54" s="10" t="inlineStr">
        <is>
          <t>Day 11</t>
        </is>
      </c>
      <c r="E54" s="10" t="inlineStr">
        <is>
          <t>30 min</t>
        </is>
      </c>
      <c r="F54" s="10" t="inlineStr">
        <is>
          <t>☐ Not Started</t>
        </is>
      </c>
      <c r="G54" s="10">
        <f>IF(F54="☑ Completed", "COMPLETED", "NOT STARTED")</f>
        <v/>
      </c>
      <c r="H54" s="10" t="inlineStr">
        <is>
          <t>Day 14</t>
        </is>
      </c>
      <c r="I54" s="10" t="inlineStr">
        <is>
          <t>☐ Not Started</t>
        </is>
      </c>
      <c r="J54" s="10" t="inlineStr">
        <is>
          <t>Day 18</t>
        </is>
      </c>
      <c r="K54" s="10" t="inlineStr">
        <is>
          <t>☐ Not Started</t>
        </is>
      </c>
      <c r="L54" s="10" t="inlineStr"/>
    </row>
    <row r="55">
      <c r="A55" s="9" t="inlineStr">
        <is>
          <t>Python</t>
        </is>
      </c>
      <c r="B55" s="9" t="inlineStr">
        <is>
          <t>Advanced</t>
        </is>
      </c>
      <c r="C55" s="9" t="inlineStr">
        <is>
          <t>List comprehension</t>
        </is>
      </c>
      <c r="D55" s="10" t="inlineStr">
        <is>
          <t>Day 11</t>
        </is>
      </c>
      <c r="E55" s="10" t="inlineStr">
        <is>
          <t>30 min</t>
        </is>
      </c>
      <c r="F55" s="10" t="inlineStr">
        <is>
          <t>☐ Not Started</t>
        </is>
      </c>
      <c r="G55" s="10">
        <f>IF(F55="☑ Completed", "COMPLETED", "NOT STARTED")</f>
        <v/>
      </c>
      <c r="H55" s="10" t="inlineStr">
        <is>
          <t>Day 14</t>
        </is>
      </c>
      <c r="I55" s="10" t="inlineStr">
        <is>
          <t>☐ Not Started</t>
        </is>
      </c>
      <c r="J55" s="10" t="inlineStr">
        <is>
          <t>Day 18</t>
        </is>
      </c>
      <c r="K55" s="10" t="inlineStr">
        <is>
          <t>☐ Not Started</t>
        </is>
      </c>
      <c r="L55" s="10" t="inlineStr"/>
    </row>
    <row r="56">
      <c r="A56" s="9" t="inlineStr">
        <is>
          <t>Python</t>
        </is>
      </c>
      <c r="B56" s="9" t="inlineStr">
        <is>
          <t>Advanced</t>
        </is>
      </c>
      <c r="C56" s="9" t="inlineStr">
        <is>
          <t>Dictionary comprehension</t>
        </is>
      </c>
      <c r="D56" s="10" t="inlineStr">
        <is>
          <t>Day 11</t>
        </is>
      </c>
      <c r="E56" s="10" t="inlineStr">
        <is>
          <t>30 min</t>
        </is>
      </c>
      <c r="F56" s="10" t="inlineStr">
        <is>
          <t>☐ Not Started</t>
        </is>
      </c>
      <c r="G56" s="10">
        <f>IF(F56="☑ Completed", "COMPLETED", "NOT STARTED")</f>
        <v/>
      </c>
      <c r="H56" s="10" t="inlineStr">
        <is>
          <t>Day 14</t>
        </is>
      </c>
      <c r="I56" s="10" t="inlineStr">
        <is>
          <t>☐ Not Started</t>
        </is>
      </c>
      <c r="J56" s="10" t="inlineStr">
        <is>
          <t>Day 18</t>
        </is>
      </c>
      <c r="K56" s="10" t="inlineStr">
        <is>
          <t>☐ Not Started</t>
        </is>
      </c>
      <c r="L56" s="10" t="inlineStr"/>
    </row>
    <row r="57">
      <c r="A57" s="9" t="inlineStr">
        <is>
          <t>Python</t>
        </is>
      </c>
      <c r="B57" s="9" t="inlineStr">
        <is>
          <t>Advanced</t>
        </is>
      </c>
      <c r="C57" s="9" t="inlineStr">
        <is>
          <t>try</t>
        </is>
      </c>
      <c r="D57" s="10" t="inlineStr">
        <is>
          <t>Day 12</t>
        </is>
      </c>
      <c r="E57" s="10" t="inlineStr">
        <is>
          <t>45 min</t>
        </is>
      </c>
      <c r="F57" s="10" t="inlineStr">
        <is>
          <t>☐ Not Started</t>
        </is>
      </c>
      <c r="G57" s="10">
        <f>IF(F57="☑ Completed", "COMPLETED", "NOT STARTED")</f>
        <v/>
      </c>
      <c r="H57" s="10" t="inlineStr">
        <is>
          <t>Day 15</t>
        </is>
      </c>
      <c r="I57" s="10" t="inlineStr">
        <is>
          <t>☐ Not Started</t>
        </is>
      </c>
      <c r="J57" s="10" t="inlineStr">
        <is>
          <t>Day 19</t>
        </is>
      </c>
      <c r="K57" s="10" t="inlineStr">
        <is>
          <t>☐ Not Started</t>
        </is>
      </c>
      <c r="L57" s="10" t="inlineStr"/>
    </row>
    <row r="58">
      <c r="A58" s="9" t="inlineStr">
        <is>
          <t>Python</t>
        </is>
      </c>
      <c r="B58" s="9" t="inlineStr">
        <is>
          <t>Advanced</t>
        </is>
      </c>
      <c r="C58" s="9" t="inlineStr">
        <is>
          <t>except</t>
        </is>
      </c>
      <c r="D58" s="10" t="inlineStr">
        <is>
          <t>Day 12</t>
        </is>
      </c>
      <c r="E58" s="10" t="inlineStr">
        <is>
          <t>30 min</t>
        </is>
      </c>
      <c r="F58" s="10" t="inlineStr">
        <is>
          <t>☐ Not Started</t>
        </is>
      </c>
      <c r="G58" s="10">
        <f>IF(F58="☑ Completed", "COMPLETED", "NOT STARTED")</f>
        <v/>
      </c>
      <c r="H58" s="10" t="inlineStr">
        <is>
          <t>Day 15</t>
        </is>
      </c>
      <c r="I58" s="10" t="inlineStr">
        <is>
          <t>☐ Not Started</t>
        </is>
      </c>
      <c r="J58" s="10" t="inlineStr">
        <is>
          <t>Day 19</t>
        </is>
      </c>
      <c r="K58" s="10" t="inlineStr">
        <is>
          <t>☐ Not Started</t>
        </is>
      </c>
      <c r="L58" s="10" t="inlineStr"/>
    </row>
    <row r="59">
      <c r="A59" s="9" t="inlineStr">
        <is>
          <t>Python</t>
        </is>
      </c>
      <c r="B59" s="9" t="inlineStr">
        <is>
          <t>Advanced</t>
        </is>
      </c>
      <c r="C59" s="9" t="inlineStr">
        <is>
          <t>else</t>
        </is>
      </c>
      <c r="D59" s="10" t="inlineStr">
        <is>
          <t>Day 12</t>
        </is>
      </c>
      <c r="E59" s="10" t="inlineStr">
        <is>
          <t>30 min</t>
        </is>
      </c>
      <c r="F59" s="10" t="inlineStr">
        <is>
          <t>☐ Not Started</t>
        </is>
      </c>
      <c r="G59" s="10">
        <f>IF(F59="☑ Completed", "COMPLETED", "NOT STARTED")</f>
        <v/>
      </c>
      <c r="H59" s="10" t="inlineStr">
        <is>
          <t>Day 15</t>
        </is>
      </c>
      <c r="I59" s="10" t="inlineStr">
        <is>
          <t>☐ Not Started</t>
        </is>
      </c>
      <c r="J59" s="10" t="inlineStr">
        <is>
          <t>Day 19</t>
        </is>
      </c>
      <c r="K59" s="10" t="inlineStr">
        <is>
          <t>☐ Not Started</t>
        </is>
      </c>
      <c r="L59" s="10" t="inlineStr"/>
    </row>
    <row r="60">
      <c r="A60" s="9" t="inlineStr">
        <is>
          <t>Python</t>
        </is>
      </c>
      <c r="B60" s="9" t="inlineStr">
        <is>
          <t>Advanced</t>
        </is>
      </c>
      <c r="C60" s="9" t="inlineStr">
        <is>
          <t>finally</t>
        </is>
      </c>
      <c r="D60" s="10" t="inlineStr">
        <is>
          <t>Day 12</t>
        </is>
      </c>
      <c r="E60" s="10" t="inlineStr">
        <is>
          <t>30 min</t>
        </is>
      </c>
      <c r="F60" s="10" t="inlineStr">
        <is>
          <t>☐ Not Started</t>
        </is>
      </c>
      <c r="G60" s="10">
        <f>IF(F60="☑ Completed", "COMPLETED", "NOT STARTED")</f>
        <v/>
      </c>
      <c r="H60" s="10" t="inlineStr">
        <is>
          <t>Day 15</t>
        </is>
      </c>
      <c r="I60" s="10" t="inlineStr">
        <is>
          <t>☐ Not Started</t>
        </is>
      </c>
      <c r="J60" s="10" t="inlineStr">
        <is>
          <t>Day 19</t>
        </is>
      </c>
      <c r="K60" s="10" t="inlineStr">
        <is>
          <t>☐ Not Started</t>
        </is>
      </c>
      <c r="L60" s="10" t="inlineStr"/>
    </row>
    <row r="61">
      <c r="A61" s="9" t="inlineStr">
        <is>
          <t>Python</t>
        </is>
      </c>
      <c r="B61" s="9" t="inlineStr">
        <is>
          <t>Advanced</t>
        </is>
      </c>
      <c r="C61" s="9" t="inlineStr">
        <is>
          <t>raise</t>
        </is>
      </c>
      <c r="D61" s="10" t="inlineStr">
        <is>
          <t>Day 12</t>
        </is>
      </c>
      <c r="E61" s="10" t="inlineStr">
        <is>
          <t>30 min</t>
        </is>
      </c>
      <c r="F61" s="10" t="inlineStr">
        <is>
          <t>☐ Not Started</t>
        </is>
      </c>
      <c r="G61" s="10">
        <f>IF(F61="☑ Completed", "COMPLETED", "NOT STARTED")</f>
        <v/>
      </c>
      <c r="H61" s="10" t="inlineStr">
        <is>
          <t>Day 15</t>
        </is>
      </c>
      <c r="I61" s="10" t="inlineStr">
        <is>
          <t>☐ Not Started</t>
        </is>
      </c>
      <c r="J61" s="10" t="inlineStr">
        <is>
          <t>Day 19</t>
        </is>
      </c>
      <c r="K61" s="10" t="inlineStr">
        <is>
          <t>☐ Not Started</t>
        </is>
      </c>
      <c r="L61" s="10" t="inlineStr"/>
    </row>
    <row r="62">
      <c r="A62" s="9" t="inlineStr">
        <is>
          <t>Python</t>
        </is>
      </c>
      <c r="B62" s="9" t="inlineStr">
        <is>
          <t>Advanced</t>
        </is>
      </c>
      <c r="C62" s="9" t="inlineStr">
        <is>
          <t>CSV files</t>
        </is>
      </c>
      <c r="D62" s="10" t="inlineStr">
        <is>
          <t>Day 13</t>
        </is>
      </c>
      <c r="E62" s="10" t="inlineStr">
        <is>
          <t>45 min</t>
        </is>
      </c>
      <c r="F62" s="10" t="inlineStr">
        <is>
          <t>☐ Not Started</t>
        </is>
      </c>
      <c r="G62" s="10">
        <f>IF(F62="☑ Completed", "COMPLETED", "NOT STARTED")</f>
        <v/>
      </c>
      <c r="H62" s="10" t="inlineStr">
        <is>
          <t>Day 16</t>
        </is>
      </c>
      <c r="I62" s="10" t="inlineStr">
        <is>
          <t>☐ Not Started</t>
        </is>
      </c>
      <c r="J62" s="10" t="inlineStr">
        <is>
          <t>Day 20</t>
        </is>
      </c>
      <c r="K62" s="10" t="inlineStr">
        <is>
          <t>☐ Not Started</t>
        </is>
      </c>
      <c r="L62" s="10" t="inlineStr"/>
    </row>
    <row r="63">
      <c r="A63" s="9" t="inlineStr">
        <is>
          <t>Python</t>
        </is>
      </c>
      <c r="B63" s="9" t="inlineStr">
        <is>
          <t>Advanced</t>
        </is>
      </c>
      <c r="C63" s="9" t="inlineStr">
        <is>
          <t>JSON files</t>
        </is>
      </c>
      <c r="D63" s="10" t="inlineStr">
        <is>
          <t>Day 13</t>
        </is>
      </c>
      <c r="E63" s="10" t="inlineStr">
        <is>
          <t>30 min</t>
        </is>
      </c>
      <c r="F63" s="10" t="inlineStr">
        <is>
          <t>☐ Not Started</t>
        </is>
      </c>
      <c r="G63" s="10">
        <f>IF(F63="☑ Completed", "COMPLETED", "NOT STARTED")</f>
        <v/>
      </c>
      <c r="H63" s="10" t="inlineStr">
        <is>
          <t>Day 16</t>
        </is>
      </c>
      <c r="I63" s="10" t="inlineStr">
        <is>
          <t>☐ Not Started</t>
        </is>
      </c>
      <c r="J63" s="10" t="inlineStr">
        <is>
          <t>Day 20</t>
        </is>
      </c>
      <c r="K63" s="10" t="inlineStr">
        <is>
          <t>☐ Not Started</t>
        </is>
      </c>
      <c r="L63" s="10" t="inlineStr"/>
    </row>
    <row r="64">
      <c r="A64" s="9" t="inlineStr">
        <is>
          <t>Python</t>
        </is>
      </c>
      <c r="B64" s="9" t="inlineStr">
        <is>
          <t>Advanced</t>
        </is>
      </c>
      <c r="C64" s="9" t="inlineStr">
        <is>
          <t>Modules</t>
        </is>
      </c>
      <c r="D64" s="10" t="inlineStr">
        <is>
          <t>Day 13</t>
        </is>
      </c>
      <c r="E64" s="10" t="inlineStr">
        <is>
          <t>30 min</t>
        </is>
      </c>
      <c r="F64" s="10" t="inlineStr">
        <is>
          <t>☐ Not Started</t>
        </is>
      </c>
      <c r="G64" s="10">
        <f>IF(F64="☑ Completed", "COMPLETED", "NOT STARTED")</f>
        <v/>
      </c>
      <c r="H64" s="10" t="inlineStr">
        <is>
          <t>Day 16</t>
        </is>
      </c>
      <c r="I64" s="10" t="inlineStr">
        <is>
          <t>☐ Not Started</t>
        </is>
      </c>
      <c r="J64" s="10" t="inlineStr">
        <is>
          <t>Day 20</t>
        </is>
      </c>
      <c r="K64" s="10" t="inlineStr">
        <is>
          <t>☐ Not Started</t>
        </is>
      </c>
      <c r="L64" s="10" t="inlineStr"/>
    </row>
    <row r="65">
      <c r="A65" s="9" t="inlineStr">
        <is>
          <t>Python</t>
        </is>
      </c>
      <c r="B65" s="9" t="inlineStr">
        <is>
          <t>Advanced</t>
        </is>
      </c>
      <c r="C65" s="9" t="inlineStr">
        <is>
          <t>Packages</t>
        </is>
      </c>
      <c r="D65" s="10" t="inlineStr">
        <is>
          <t>Day 13</t>
        </is>
      </c>
      <c r="E65" s="10" t="inlineStr">
        <is>
          <t>30 min</t>
        </is>
      </c>
      <c r="F65" s="10" t="inlineStr">
        <is>
          <t>☐ Not Started</t>
        </is>
      </c>
      <c r="G65" s="10">
        <f>IF(F65="☑ Completed", "COMPLETED", "NOT STARTED")</f>
        <v/>
      </c>
      <c r="H65" s="10" t="inlineStr">
        <is>
          <t>Day 16</t>
        </is>
      </c>
      <c r="I65" s="10" t="inlineStr">
        <is>
          <t>☐ Not Started</t>
        </is>
      </c>
      <c r="J65" s="10" t="inlineStr">
        <is>
          <t>Day 20</t>
        </is>
      </c>
      <c r="K65" s="10" t="inlineStr">
        <is>
          <t>☐ Not Started</t>
        </is>
      </c>
      <c r="L65" s="10" t="inlineStr"/>
    </row>
    <row r="66">
      <c r="A66" s="9" t="inlineStr">
        <is>
          <t>Python</t>
        </is>
      </c>
      <c r="B66" s="9" t="inlineStr">
        <is>
          <t>OOP</t>
        </is>
      </c>
      <c r="C66" s="9" t="inlineStr">
        <is>
          <t>Classes</t>
        </is>
      </c>
      <c r="D66" s="10" t="inlineStr">
        <is>
          <t>Day 13</t>
        </is>
      </c>
      <c r="E66" s="10" t="inlineStr">
        <is>
          <t>30 min</t>
        </is>
      </c>
      <c r="F66" s="10" t="inlineStr">
        <is>
          <t>☐ Not Started</t>
        </is>
      </c>
      <c r="G66" s="10">
        <f>IF(F66="☑ Completed", "COMPLETED", "NOT STARTED")</f>
        <v/>
      </c>
      <c r="H66" s="10" t="inlineStr">
        <is>
          <t>Day 16</t>
        </is>
      </c>
      <c r="I66" s="10" t="inlineStr">
        <is>
          <t>☐ Not Started</t>
        </is>
      </c>
      <c r="J66" s="10" t="inlineStr">
        <is>
          <t>Day 20</t>
        </is>
      </c>
      <c r="K66" s="10" t="inlineStr">
        <is>
          <t>☐ Not Started</t>
        </is>
      </c>
      <c r="L66" s="10" t="inlineStr"/>
    </row>
    <row r="67">
      <c r="A67" s="9" t="inlineStr">
        <is>
          <t>Python</t>
        </is>
      </c>
      <c r="B67" s="9" t="inlineStr">
        <is>
          <t>OOP</t>
        </is>
      </c>
      <c r="C67" s="9" t="inlineStr">
        <is>
          <t>Objects</t>
        </is>
      </c>
      <c r="D67" s="10" t="inlineStr">
        <is>
          <t>Day 14</t>
        </is>
      </c>
      <c r="E67" s="10" t="inlineStr">
        <is>
          <t>45 min</t>
        </is>
      </c>
      <c r="F67" s="10" t="inlineStr">
        <is>
          <t>☐ Not Started</t>
        </is>
      </c>
      <c r="G67" s="10">
        <f>IF(F67="☑ Completed", "COMPLETED", "NOT STARTED")</f>
        <v/>
      </c>
      <c r="H67" s="10" t="inlineStr">
        <is>
          <t>Day 17</t>
        </is>
      </c>
      <c r="I67" s="10" t="inlineStr">
        <is>
          <t>☐ Not Started</t>
        </is>
      </c>
      <c r="J67" s="10" t="inlineStr">
        <is>
          <t>Day 21</t>
        </is>
      </c>
      <c r="K67" s="10" t="inlineStr">
        <is>
          <t>☐ Not Started</t>
        </is>
      </c>
      <c r="L67" s="10" t="inlineStr"/>
    </row>
    <row r="68">
      <c r="A68" s="9" t="inlineStr">
        <is>
          <t>Python</t>
        </is>
      </c>
      <c r="B68" s="9" t="inlineStr">
        <is>
          <t>OOP</t>
        </is>
      </c>
      <c r="C68" s="9" t="inlineStr">
        <is>
          <t>Constructor</t>
        </is>
      </c>
      <c r="D68" s="10" t="inlineStr">
        <is>
          <t>Day 14</t>
        </is>
      </c>
      <c r="E68" s="10" t="inlineStr">
        <is>
          <t>30 min</t>
        </is>
      </c>
      <c r="F68" s="10" t="inlineStr">
        <is>
          <t>☐ Not Started</t>
        </is>
      </c>
      <c r="G68" s="10">
        <f>IF(F68="☑ Completed", "COMPLETED", "NOT STARTED")</f>
        <v/>
      </c>
      <c r="H68" s="10" t="inlineStr">
        <is>
          <t>Day 17</t>
        </is>
      </c>
      <c r="I68" s="10" t="inlineStr">
        <is>
          <t>☐ Not Started</t>
        </is>
      </c>
      <c r="J68" s="10" t="inlineStr">
        <is>
          <t>Day 21</t>
        </is>
      </c>
      <c r="K68" s="10" t="inlineStr">
        <is>
          <t>☐ Not Started</t>
        </is>
      </c>
      <c r="L68" s="10" t="inlineStr"/>
    </row>
    <row r="69">
      <c r="A69" s="9" t="inlineStr">
        <is>
          <t>Python</t>
        </is>
      </c>
      <c r="B69" s="9" t="inlineStr">
        <is>
          <t>OOP</t>
        </is>
      </c>
      <c r="C69" s="9" t="inlineStr">
        <is>
          <t>self</t>
        </is>
      </c>
      <c r="D69" s="10" t="inlineStr">
        <is>
          <t>Day 14</t>
        </is>
      </c>
      <c r="E69" s="10" t="inlineStr">
        <is>
          <t>30 min</t>
        </is>
      </c>
      <c r="F69" s="10" t="inlineStr">
        <is>
          <t>☐ Not Started</t>
        </is>
      </c>
      <c r="G69" s="10">
        <f>IF(F69="☑ Completed", "COMPLETED", "NOT STARTED")</f>
        <v/>
      </c>
      <c r="H69" s="10" t="inlineStr">
        <is>
          <t>Day 17</t>
        </is>
      </c>
      <c r="I69" s="10" t="inlineStr">
        <is>
          <t>☐ Not Started</t>
        </is>
      </c>
      <c r="J69" s="10" t="inlineStr">
        <is>
          <t>Day 21</t>
        </is>
      </c>
      <c r="K69" s="10" t="inlineStr">
        <is>
          <t>☐ Not Started</t>
        </is>
      </c>
      <c r="L69" s="10" t="inlineStr"/>
    </row>
    <row r="70">
      <c r="A70" s="9" t="inlineStr">
        <is>
          <t>Python</t>
        </is>
      </c>
      <c r="B70" s="9" t="inlineStr">
        <is>
          <t>OOP</t>
        </is>
      </c>
      <c r="C70" s="9" t="inlineStr">
        <is>
          <t>Instance variables</t>
        </is>
      </c>
      <c r="D70" s="10" t="inlineStr">
        <is>
          <t>Day 14</t>
        </is>
      </c>
      <c r="E70" s="10" t="inlineStr">
        <is>
          <t>30 min</t>
        </is>
      </c>
      <c r="F70" s="10" t="inlineStr">
        <is>
          <t>☐ Not Started</t>
        </is>
      </c>
      <c r="G70" s="10">
        <f>IF(F70="☑ Completed", "COMPLETED", "NOT STARTED")</f>
        <v/>
      </c>
      <c r="H70" s="10" t="inlineStr">
        <is>
          <t>Day 17</t>
        </is>
      </c>
      <c r="I70" s="10" t="inlineStr">
        <is>
          <t>☐ Not Started</t>
        </is>
      </c>
      <c r="J70" s="10" t="inlineStr">
        <is>
          <t>Day 21</t>
        </is>
      </c>
      <c r="K70" s="10" t="inlineStr">
        <is>
          <t>☐ Not Started</t>
        </is>
      </c>
      <c r="L70" s="10" t="inlineStr"/>
    </row>
    <row r="71">
      <c r="A71" s="9" t="inlineStr">
        <is>
          <t>Python</t>
        </is>
      </c>
      <c r="B71" s="9" t="inlineStr">
        <is>
          <t>OOP</t>
        </is>
      </c>
      <c r="C71" s="9" t="inlineStr">
        <is>
          <t>Class variables</t>
        </is>
      </c>
      <c r="D71" s="10" t="inlineStr">
        <is>
          <t>Day 14</t>
        </is>
      </c>
      <c r="E71" s="10" t="inlineStr">
        <is>
          <t>30 min</t>
        </is>
      </c>
      <c r="F71" s="10" t="inlineStr">
        <is>
          <t>☐ Not Started</t>
        </is>
      </c>
      <c r="G71" s="10">
        <f>IF(F71="☑ Completed", "COMPLETED", "NOT STARTED")</f>
        <v/>
      </c>
      <c r="H71" s="10" t="inlineStr">
        <is>
          <t>Day 17</t>
        </is>
      </c>
      <c r="I71" s="10" t="inlineStr">
        <is>
          <t>☐ Not Started</t>
        </is>
      </c>
      <c r="J71" s="10" t="inlineStr">
        <is>
          <t>Day 21</t>
        </is>
      </c>
      <c r="K71" s="10" t="inlineStr">
        <is>
          <t>☐ Not Started</t>
        </is>
      </c>
      <c r="L71" s="10" t="inlineStr"/>
    </row>
    <row r="72">
      <c r="A72" s="9" t="inlineStr">
        <is>
          <t>Python</t>
        </is>
      </c>
      <c r="B72" s="9" t="inlineStr">
        <is>
          <t>OOP</t>
        </is>
      </c>
      <c r="C72" s="9" t="inlineStr">
        <is>
          <t>Methods</t>
        </is>
      </c>
      <c r="D72" s="10" t="inlineStr">
        <is>
          <t>Day 15</t>
        </is>
      </c>
      <c r="E72" s="10" t="inlineStr">
        <is>
          <t>45 min</t>
        </is>
      </c>
      <c r="F72" s="10" t="inlineStr">
        <is>
          <t>☐ Not Started</t>
        </is>
      </c>
      <c r="G72" s="10">
        <f>IF(F72="☑ Completed", "COMPLETED", "NOT STARTED")</f>
        <v/>
      </c>
      <c r="H72" s="10" t="inlineStr">
        <is>
          <t>Day 18</t>
        </is>
      </c>
      <c r="I72" s="10" t="inlineStr">
        <is>
          <t>☐ Not Started</t>
        </is>
      </c>
      <c r="J72" s="10" t="inlineStr">
        <is>
          <t>Day 22</t>
        </is>
      </c>
      <c r="K72" s="10" t="inlineStr">
        <is>
          <t>☐ Not Started</t>
        </is>
      </c>
      <c r="L72" s="10" t="inlineStr"/>
    </row>
    <row r="73">
      <c r="A73" s="9" t="inlineStr">
        <is>
          <t>Python</t>
        </is>
      </c>
      <c r="B73" s="9" t="inlineStr">
        <is>
          <t>OOP</t>
        </is>
      </c>
      <c r="C73" s="9" t="inlineStr">
        <is>
          <t>Inheritance</t>
        </is>
      </c>
      <c r="D73" s="10" t="inlineStr">
        <is>
          <t>Day 15</t>
        </is>
      </c>
      <c r="E73" s="10" t="inlineStr">
        <is>
          <t>30 min</t>
        </is>
      </c>
      <c r="F73" s="10" t="inlineStr">
        <is>
          <t>☐ Not Started</t>
        </is>
      </c>
      <c r="G73" s="10">
        <f>IF(F73="☑ Completed", "COMPLETED", "NOT STARTED")</f>
        <v/>
      </c>
      <c r="H73" s="10" t="inlineStr">
        <is>
          <t>Day 18</t>
        </is>
      </c>
      <c r="I73" s="10" t="inlineStr">
        <is>
          <t>☐ Not Started</t>
        </is>
      </c>
      <c r="J73" s="10" t="inlineStr">
        <is>
          <t>Day 22</t>
        </is>
      </c>
      <c r="K73" s="10" t="inlineStr">
        <is>
          <t>☐ Not Started</t>
        </is>
      </c>
      <c r="L73" s="10" t="inlineStr"/>
    </row>
    <row r="74">
      <c r="A74" s="9" t="inlineStr">
        <is>
          <t>Python</t>
        </is>
      </c>
      <c r="B74" s="9" t="inlineStr">
        <is>
          <t>OOP</t>
        </is>
      </c>
      <c r="C74" s="9" t="inlineStr">
        <is>
          <t>Polymorphism</t>
        </is>
      </c>
      <c r="D74" s="10" t="inlineStr">
        <is>
          <t>Day 15</t>
        </is>
      </c>
      <c r="E74" s="10" t="inlineStr">
        <is>
          <t>30 min</t>
        </is>
      </c>
      <c r="F74" s="10" t="inlineStr">
        <is>
          <t>☐ Not Started</t>
        </is>
      </c>
      <c r="G74" s="10">
        <f>IF(F74="☑ Completed", "COMPLETED", "NOT STARTED")</f>
        <v/>
      </c>
      <c r="H74" s="10" t="inlineStr">
        <is>
          <t>Day 18</t>
        </is>
      </c>
      <c r="I74" s="10" t="inlineStr">
        <is>
          <t>☐ Not Started</t>
        </is>
      </c>
      <c r="J74" s="10" t="inlineStr">
        <is>
          <t>Day 22</t>
        </is>
      </c>
      <c r="K74" s="10" t="inlineStr">
        <is>
          <t>☐ Not Started</t>
        </is>
      </c>
      <c r="L74" s="10" t="inlineStr"/>
    </row>
    <row r="75">
      <c r="A75" s="9" t="inlineStr">
        <is>
          <t>Python</t>
        </is>
      </c>
      <c r="B75" s="9" t="inlineStr">
        <is>
          <t>OOP</t>
        </is>
      </c>
      <c r="C75" s="9" t="inlineStr">
        <is>
          <t>Encapsulation</t>
        </is>
      </c>
      <c r="D75" s="10" t="inlineStr">
        <is>
          <t>Day 15</t>
        </is>
      </c>
      <c r="E75" s="10" t="inlineStr">
        <is>
          <t>30 min</t>
        </is>
      </c>
      <c r="F75" s="10" t="inlineStr">
        <is>
          <t>☐ Not Started</t>
        </is>
      </c>
      <c r="G75" s="10">
        <f>IF(F75="☑ Completed", "COMPLETED", "NOT STARTED")</f>
        <v/>
      </c>
      <c r="H75" s="10" t="inlineStr">
        <is>
          <t>Day 18</t>
        </is>
      </c>
      <c r="I75" s="10" t="inlineStr">
        <is>
          <t>☐ Not Started</t>
        </is>
      </c>
      <c r="J75" s="10" t="inlineStr">
        <is>
          <t>Day 22</t>
        </is>
      </c>
      <c r="K75" s="10" t="inlineStr">
        <is>
          <t>☐ Not Started</t>
        </is>
      </c>
      <c r="L75" s="10" t="inlineStr"/>
    </row>
    <row r="76">
      <c r="A76" s="9" t="inlineStr">
        <is>
          <t>Python</t>
        </is>
      </c>
      <c r="B76" s="9" t="inlineStr">
        <is>
          <t>OOP</t>
        </is>
      </c>
      <c r="C76" s="9" t="inlineStr">
        <is>
          <t>Abstraction</t>
        </is>
      </c>
      <c r="D76" s="10" t="inlineStr">
        <is>
          <t>Day 15</t>
        </is>
      </c>
      <c r="E76" s="10" t="inlineStr">
        <is>
          <t>30 min</t>
        </is>
      </c>
      <c r="F76" s="10" t="inlineStr">
        <is>
          <t>☐ Not Started</t>
        </is>
      </c>
      <c r="G76" s="10">
        <f>IF(F76="☑ Completed", "COMPLETED", "NOT STARTED")</f>
        <v/>
      </c>
      <c r="H76" s="10" t="inlineStr">
        <is>
          <t>Day 18</t>
        </is>
      </c>
      <c r="I76" s="10" t="inlineStr">
        <is>
          <t>☐ Not Started</t>
        </is>
      </c>
      <c r="J76" s="10" t="inlineStr">
        <is>
          <t>Day 22</t>
        </is>
      </c>
      <c r="K76" s="10" t="inlineStr">
        <is>
          <t>☐ Not Started</t>
        </is>
      </c>
      <c r="L76" s="10" t="inlineStr"/>
    </row>
    <row r="77">
      <c r="A77" s="9" t="inlineStr">
        <is>
          <t>Python</t>
        </is>
      </c>
      <c r="B77" s="9" t="inlineStr">
        <is>
          <t>OOP</t>
        </is>
      </c>
      <c r="C77" s="9" t="inlineStr">
        <is>
          <t>Iterators</t>
        </is>
      </c>
      <c r="D77" s="10" t="inlineStr">
        <is>
          <t>Day 16</t>
        </is>
      </c>
      <c r="E77" s="10" t="inlineStr">
        <is>
          <t>45 min</t>
        </is>
      </c>
      <c r="F77" s="10" t="inlineStr">
        <is>
          <t>☐ Not Started</t>
        </is>
      </c>
      <c r="G77" s="10">
        <f>IF(F77="☑ Completed", "COMPLETED", "NOT STARTED")</f>
        <v/>
      </c>
      <c r="H77" s="10" t="inlineStr">
        <is>
          <t>Day 19</t>
        </is>
      </c>
      <c r="I77" s="10" t="inlineStr">
        <is>
          <t>☐ Not Started</t>
        </is>
      </c>
      <c r="J77" s="10" t="inlineStr">
        <is>
          <t>Day 23</t>
        </is>
      </c>
      <c r="K77" s="10" t="inlineStr">
        <is>
          <t>☐ Not Started</t>
        </is>
      </c>
      <c r="L77" s="10" t="inlineStr"/>
    </row>
    <row r="78">
      <c r="A78" s="9" t="inlineStr">
        <is>
          <t>Python</t>
        </is>
      </c>
      <c r="B78" s="9" t="inlineStr">
        <is>
          <t>OOP</t>
        </is>
      </c>
      <c r="C78" s="9" t="inlineStr">
        <is>
          <t>Generators</t>
        </is>
      </c>
      <c r="D78" s="10" t="inlineStr">
        <is>
          <t>Day 16</t>
        </is>
      </c>
      <c r="E78" s="10" t="inlineStr">
        <is>
          <t>30 min</t>
        </is>
      </c>
      <c r="F78" s="10" t="inlineStr">
        <is>
          <t>☐ Not Started</t>
        </is>
      </c>
      <c r="G78" s="10">
        <f>IF(F78="☑ Completed", "COMPLETED", "NOT STARTED")</f>
        <v/>
      </c>
      <c r="H78" s="10" t="inlineStr">
        <is>
          <t>Day 19</t>
        </is>
      </c>
      <c r="I78" s="10" t="inlineStr">
        <is>
          <t>☐ Not Started</t>
        </is>
      </c>
      <c r="J78" s="10" t="inlineStr">
        <is>
          <t>Day 23</t>
        </is>
      </c>
      <c r="K78" s="10" t="inlineStr">
        <is>
          <t>☐ Not Started</t>
        </is>
      </c>
      <c r="L78" s="10" t="inlineStr"/>
    </row>
    <row r="79">
      <c r="A79" s="9" t="inlineStr">
        <is>
          <t>Python</t>
        </is>
      </c>
      <c r="B79" s="9" t="inlineStr">
        <is>
          <t>OOP</t>
        </is>
      </c>
      <c r="C79" s="9" t="inlineStr">
        <is>
          <t>Decorators</t>
        </is>
      </c>
      <c r="D79" s="10" t="inlineStr">
        <is>
          <t>Day 16</t>
        </is>
      </c>
      <c r="E79" s="10" t="inlineStr">
        <is>
          <t>30 min</t>
        </is>
      </c>
      <c r="F79" s="10" t="inlineStr">
        <is>
          <t>☐ Not Started</t>
        </is>
      </c>
      <c r="G79" s="10">
        <f>IF(F79="☑ Completed", "COMPLETED", "NOT STARTED")</f>
        <v/>
      </c>
      <c r="H79" s="10" t="inlineStr">
        <is>
          <t>Day 19</t>
        </is>
      </c>
      <c r="I79" s="10" t="inlineStr">
        <is>
          <t>☐ Not Started</t>
        </is>
      </c>
      <c r="J79" s="10" t="inlineStr">
        <is>
          <t>Day 23</t>
        </is>
      </c>
      <c r="K79" s="10" t="inlineStr">
        <is>
          <t>☐ Not Started</t>
        </is>
      </c>
      <c r="L79" s="10" t="inlineStr"/>
    </row>
    <row r="80">
      <c r="A80" s="9" t="inlineStr">
        <is>
          <t>NumPy</t>
        </is>
      </c>
      <c r="B80" s="9" t="inlineStr">
        <is>
          <t>Arrays</t>
        </is>
      </c>
      <c r="C80" s="9" t="inlineStr">
        <is>
          <t>Array creation</t>
        </is>
      </c>
      <c r="D80" s="10" t="inlineStr">
        <is>
          <t>Day 16</t>
        </is>
      </c>
      <c r="E80" s="10" t="inlineStr">
        <is>
          <t>30 min</t>
        </is>
      </c>
      <c r="F80" s="10" t="inlineStr">
        <is>
          <t>☐ Not Started</t>
        </is>
      </c>
      <c r="G80" s="10">
        <f>IF(F80="☑ Completed", "COMPLETED", "NOT STARTED")</f>
        <v/>
      </c>
      <c r="H80" s="10" t="inlineStr">
        <is>
          <t>Day 19</t>
        </is>
      </c>
      <c r="I80" s="10" t="inlineStr">
        <is>
          <t>☐ Not Started</t>
        </is>
      </c>
      <c r="J80" s="10" t="inlineStr">
        <is>
          <t>Day 23</t>
        </is>
      </c>
      <c r="K80" s="10" t="inlineStr">
        <is>
          <t>☐ Not Started</t>
        </is>
      </c>
      <c r="L80" s="10" t="inlineStr"/>
    </row>
    <row r="81">
      <c r="A81" s="9" t="inlineStr">
        <is>
          <t>NumPy</t>
        </is>
      </c>
      <c r="B81" s="9" t="inlineStr">
        <is>
          <t>Arrays</t>
        </is>
      </c>
      <c r="C81" s="9" t="inlineStr">
        <is>
          <t>Shape</t>
        </is>
      </c>
      <c r="D81" s="10" t="inlineStr">
        <is>
          <t>Day 16</t>
        </is>
      </c>
      <c r="E81" s="10" t="inlineStr">
        <is>
          <t>30 min</t>
        </is>
      </c>
      <c r="F81" s="10" t="inlineStr">
        <is>
          <t>☐ Not Started</t>
        </is>
      </c>
      <c r="G81" s="10">
        <f>IF(F81="☑ Completed", "COMPLETED", "NOT STARTED")</f>
        <v/>
      </c>
      <c r="H81" s="10" t="inlineStr">
        <is>
          <t>Day 19</t>
        </is>
      </c>
      <c r="I81" s="10" t="inlineStr">
        <is>
          <t>☐ Not Started</t>
        </is>
      </c>
      <c r="J81" s="10" t="inlineStr">
        <is>
          <t>Day 23</t>
        </is>
      </c>
      <c r="K81" s="10" t="inlineStr">
        <is>
          <t>☐ Not Started</t>
        </is>
      </c>
      <c r="L81" s="10" t="inlineStr"/>
    </row>
    <row r="82">
      <c r="A82" s="9" t="inlineStr">
        <is>
          <t>NumPy</t>
        </is>
      </c>
      <c r="B82" s="9" t="inlineStr">
        <is>
          <t>Arrays</t>
        </is>
      </c>
      <c r="C82" s="9" t="inlineStr">
        <is>
          <t>Size</t>
        </is>
      </c>
      <c r="D82" s="10" t="inlineStr">
        <is>
          <t>Day 17</t>
        </is>
      </c>
      <c r="E82" s="10" t="inlineStr">
        <is>
          <t>45 min</t>
        </is>
      </c>
      <c r="F82" s="10" t="inlineStr">
        <is>
          <t>☐ Not Started</t>
        </is>
      </c>
      <c r="G82" s="10">
        <f>IF(F82="☑ Completed", "COMPLETED", "NOT STARTED")</f>
        <v/>
      </c>
      <c r="H82" s="10" t="inlineStr">
        <is>
          <t>Day 20</t>
        </is>
      </c>
      <c r="I82" s="10" t="inlineStr">
        <is>
          <t>☐ Not Started</t>
        </is>
      </c>
      <c r="J82" s="10" t="inlineStr">
        <is>
          <t>Day 24</t>
        </is>
      </c>
      <c r="K82" s="10" t="inlineStr">
        <is>
          <t>☐ Not Started</t>
        </is>
      </c>
      <c r="L82" s="10" t="inlineStr"/>
    </row>
    <row r="83">
      <c r="A83" s="9" t="inlineStr">
        <is>
          <t>NumPy</t>
        </is>
      </c>
      <c r="B83" s="9" t="inlineStr">
        <is>
          <t>Arrays</t>
        </is>
      </c>
      <c r="C83" s="9" t="inlineStr">
        <is>
          <t>Indexing</t>
        </is>
      </c>
      <c r="D83" s="10" t="inlineStr">
        <is>
          <t>Day 17</t>
        </is>
      </c>
      <c r="E83" s="10" t="inlineStr">
        <is>
          <t>30 min</t>
        </is>
      </c>
      <c r="F83" s="10" t="inlineStr">
        <is>
          <t>☐ Not Started</t>
        </is>
      </c>
      <c r="G83" s="10">
        <f>IF(F83="☑ Completed", "COMPLETED", "NOT STARTED")</f>
        <v/>
      </c>
      <c r="H83" s="10" t="inlineStr">
        <is>
          <t>Day 20</t>
        </is>
      </c>
      <c r="I83" s="10" t="inlineStr">
        <is>
          <t>☐ Not Started</t>
        </is>
      </c>
      <c r="J83" s="10" t="inlineStr">
        <is>
          <t>Day 24</t>
        </is>
      </c>
      <c r="K83" s="10" t="inlineStr">
        <is>
          <t>☐ Not Started</t>
        </is>
      </c>
      <c r="L83" s="10" t="inlineStr"/>
    </row>
    <row r="84">
      <c r="A84" s="9" t="inlineStr">
        <is>
          <t>NumPy</t>
        </is>
      </c>
      <c r="B84" s="9" t="inlineStr">
        <is>
          <t>Arrays</t>
        </is>
      </c>
      <c r="C84" s="9" t="inlineStr">
        <is>
          <t>Slicing</t>
        </is>
      </c>
      <c r="D84" s="10" t="inlineStr">
        <is>
          <t>Day 17</t>
        </is>
      </c>
      <c r="E84" s="10" t="inlineStr">
        <is>
          <t>30 min</t>
        </is>
      </c>
      <c r="F84" s="10" t="inlineStr">
        <is>
          <t>☐ Not Started</t>
        </is>
      </c>
      <c r="G84" s="10">
        <f>IF(F84="☑ Completed", "COMPLETED", "NOT STARTED")</f>
        <v/>
      </c>
      <c r="H84" s="10" t="inlineStr">
        <is>
          <t>Day 20</t>
        </is>
      </c>
      <c r="I84" s="10" t="inlineStr">
        <is>
          <t>☐ Not Started</t>
        </is>
      </c>
      <c r="J84" s="10" t="inlineStr">
        <is>
          <t>Day 24</t>
        </is>
      </c>
      <c r="K84" s="10" t="inlineStr">
        <is>
          <t>☐ Not Started</t>
        </is>
      </c>
      <c r="L84" s="10" t="inlineStr"/>
    </row>
    <row r="85">
      <c r="A85" s="9" t="inlineStr">
        <is>
          <t>NumPy</t>
        </is>
      </c>
      <c r="B85" s="9" t="inlineStr">
        <is>
          <t>Arrays</t>
        </is>
      </c>
      <c r="C85" s="9" t="inlineStr">
        <is>
          <t>Reshape</t>
        </is>
      </c>
      <c r="D85" s="10" t="inlineStr">
        <is>
          <t>Day 17</t>
        </is>
      </c>
      <c r="E85" s="10" t="inlineStr">
        <is>
          <t>30 min</t>
        </is>
      </c>
      <c r="F85" s="10" t="inlineStr">
        <is>
          <t>☐ Not Started</t>
        </is>
      </c>
      <c r="G85" s="10">
        <f>IF(F85="☑ Completed", "COMPLETED", "NOT STARTED")</f>
        <v/>
      </c>
      <c r="H85" s="10" t="inlineStr">
        <is>
          <t>Day 20</t>
        </is>
      </c>
      <c r="I85" s="10" t="inlineStr">
        <is>
          <t>☐ Not Started</t>
        </is>
      </c>
      <c r="J85" s="10" t="inlineStr">
        <is>
          <t>Day 24</t>
        </is>
      </c>
      <c r="K85" s="10" t="inlineStr">
        <is>
          <t>☐ Not Started</t>
        </is>
      </c>
      <c r="L85" s="10" t="inlineStr"/>
    </row>
    <row r="86">
      <c r="A86" s="9" t="inlineStr">
        <is>
          <t>NumPy</t>
        </is>
      </c>
      <c r="B86" s="9" t="inlineStr">
        <is>
          <t>Arrays</t>
        </is>
      </c>
      <c r="C86" s="9" t="inlineStr">
        <is>
          <t>Flatten</t>
        </is>
      </c>
      <c r="D86" s="10" t="inlineStr">
        <is>
          <t>Day 17</t>
        </is>
      </c>
      <c r="E86" s="10" t="inlineStr">
        <is>
          <t>30 min</t>
        </is>
      </c>
      <c r="F86" s="10" t="inlineStr">
        <is>
          <t>☐ Not Started</t>
        </is>
      </c>
      <c r="G86" s="10">
        <f>IF(F86="☑ Completed", "COMPLETED", "NOT STARTED")</f>
        <v/>
      </c>
      <c r="H86" s="10" t="inlineStr">
        <is>
          <t>Day 20</t>
        </is>
      </c>
      <c r="I86" s="10" t="inlineStr">
        <is>
          <t>☐ Not Started</t>
        </is>
      </c>
      <c r="J86" s="10" t="inlineStr">
        <is>
          <t>Day 24</t>
        </is>
      </c>
      <c r="K86" s="10" t="inlineStr">
        <is>
          <t>☐ Not Started</t>
        </is>
      </c>
      <c r="L86" s="10" t="inlineStr"/>
    </row>
    <row r="87">
      <c r="A87" s="9" t="inlineStr">
        <is>
          <t>NumPy</t>
        </is>
      </c>
      <c r="B87" s="9" t="inlineStr">
        <is>
          <t>Arrays</t>
        </is>
      </c>
      <c r="C87" s="9" t="inlineStr">
        <is>
          <t>Transpose</t>
        </is>
      </c>
      <c r="D87" s="10" t="inlineStr">
        <is>
          <t>Day 18</t>
        </is>
      </c>
      <c r="E87" s="10" t="inlineStr">
        <is>
          <t>45 min</t>
        </is>
      </c>
      <c r="F87" s="10" t="inlineStr">
        <is>
          <t>☐ Not Started</t>
        </is>
      </c>
      <c r="G87" s="10">
        <f>IF(F87="☑ Completed", "COMPLETED", "NOT STARTED")</f>
        <v/>
      </c>
      <c r="H87" s="10" t="inlineStr">
        <is>
          <t>Day 21</t>
        </is>
      </c>
      <c r="I87" s="10" t="inlineStr">
        <is>
          <t>☐ Not Started</t>
        </is>
      </c>
      <c r="J87" s="10" t="inlineStr">
        <is>
          <t>Day 25</t>
        </is>
      </c>
      <c r="K87" s="10" t="inlineStr">
        <is>
          <t>☐ Not Started</t>
        </is>
      </c>
      <c r="L87" s="10" t="inlineStr"/>
    </row>
    <row r="88">
      <c r="A88" s="9" t="inlineStr">
        <is>
          <t>NumPy</t>
        </is>
      </c>
      <c r="B88" s="9" t="inlineStr">
        <is>
          <t>Arrays</t>
        </is>
      </c>
      <c r="C88" s="9" t="inlineStr">
        <is>
          <t>Broadcasting</t>
        </is>
      </c>
      <c r="D88" s="10" t="inlineStr">
        <is>
          <t>Day 18</t>
        </is>
      </c>
      <c r="E88" s="10" t="inlineStr">
        <is>
          <t>30 min</t>
        </is>
      </c>
      <c r="F88" s="10" t="inlineStr">
        <is>
          <t>☐ Not Started</t>
        </is>
      </c>
      <c r="G88" s="10">
        <f>IF(F88="☑ Completed", "COMPLETED", "NOT STARTED")</f>
        <v/>
      </c>
      <c r="H88" s="10" t="inlineStr">
        <is>
          <t>Day 21</t>
        </is>
      </c>
      <c r="I88" s="10" t="inlineStr">
        <is>
          <t>☐ Not Started</t>
        </is>
      </c>
      <c r="J88" s="10" t="inlineStr">
        <is>
          <t>Day 25</t>
        </is>
      </c>
      <c r="K88" s="10" t="inlineStr">
        <is>
          <t>☐ Not Started</t>
        </is>
      </c>
      <c r="L88" s="10" t="inlineStr"/>
    </row>
    <row r="89">
      <c r="A89" s="9" t="inlineStr">
        <is>
          <t>NumPy</t>
        </is>
      </c>
      <c r="B89" s="9" t="inlineStr">
        <is>
          <t>Arrays</t>
        </is>
      </c>
      <c r="C89" s="9" t="inlineStr">
        <is>
          <t>Vectorized operations</t>
        </is>
      </c>
      <c r="D89" s="10" t="inlineStr">
        <is>
          <t>Day 18</t>
        </is>
      </c>
      <c r="E89" s="10" t="inlineStr">
        <is>
          <t>30 min</t>
        </is>
      </c>
      <c r="F89" s="10" t="inlineStr">
        <is>
          <t>☐ Not Started</t>
        </is>
      </c>
      <c r="G89" s="10">
        <f>IF(F89="☑ Completed", "COMPLETED", "NOT STARTED")</f>
        <v/>
      </c>
      <c r="H89" s="10" t="inlineStr">
        <is>
          <t>Day 21</t>
        </is>
      </c>
      <c r="I89" s="10" t="inlineStr">
        <is>
          <t>☐ Not Started</t>
        </is>
      </c>
      <c r="J89" s="10" t="inlineStr">
        <is>
          <t>Day 25</t>
        </is>
      </c>
      <c r="K89" s="10" t="inlineStr">
        <is>
          <t>☐ Not Started</t>
        </is>
      </c>
      <c r="L89" s="10" t="inlineStr"/>
    </row>
    <row r="90">
      <c r="A90" s="9" t="inlineStr">
        <is>
          <t>NumPy</t>
        </is>
      </c>
      <c r="B90" s="9" t="inlineStr">
        <is>
          <t>Arrays</t>
        </is>
      </c>
      <c r="C90" s="9" t="inlineStr">
        <is>
          <t>Aggregation</t>
        </is>
      </c>
      <c r="D90" s="10" t="inlineStr">
        <is>
          <t>Day 18</t>
        </is>
      </c>
      <c r="E90" s="10" t="inlineStr">
        <is>
          <t>30 min</t>
        </is>
      </c>
      <c r="F90" s="10" t="inlineStr">
        <is>
          <t>☐ Not Started</t>
        </is>
      </c>
      <c r="G90" s="10">
        <f>IF(F90="☑ Completed", "COMPLETED", "NOT STARTED")</f>
        <v/>
      </c>
      <c r="H90" s="10" t="inlineStr">
        <is>
          <t>Day 21</t>
        </is>
      </c>
      <c r="I90" s="10" t="inlineStr">
        <is>
          <t>☐ Not Started</t>
        </is>
      </c>
      <c r="J90" s="10" t="inlineStr">
        <is>
          <t>Day 25</t>
        </is>
      </c>
      <c r="K90" s="10" t="inlineStr">
        <is>
          <t>☐ Not Started</t>
        </is>
      </c>
      <c r="L90" s="10" t="inlineStr"/>
    </row>
    <row r="91">
      <c r="A91" s="9" t="inlineStr">
        <is>
          <t>NumPy</t>
        </is>
      </c>
      <c r="B91" s="9" t="inlineStr">
        <is>
          <t>Arrays</t>
        </is>
      </c>
      <c r="C91" s="9" t="inlineStr">
        <is>
          <t>Random module</t>
        </is>
      </c>
      <c r="D91" s="10" t="inlineStr">
        <is>
          <t>Day 18</t>
        </is>
      </c>
      <c r="E91" s="10" t="inlineStr">
        <is>
          <t>30 min</t>
        </is>
      </c>
      <c r="F91" s="10" t="inlineStr">
        <is>
          <t>☐ Not Started</t>
        </is>
      </c>
      <c r="G91" s="10">
        <f>IF(F91="☑ Completed", "COMPLETED", "NOT STARTED")</f>
        <v/>
      </c>
      <c r="H91" s="10" t="inlineStr">
        <is>
          <t>Day 21</t>
        </is>
      </c>
      <c r="I91" s="10" t="inlineStr">
        <is>
          <t>☐ Not Started</t>
        </is>
      </c>
      <c r="J91" s="10" t="inlineStr">
        <is>
          <t>Day 25</t>
        </is>
      </c>
      <c r="K91" s="10" t="inlineStr">
        <is>
          <t>☐ Not Started</t>
        </is>
      </c>
      <c r="L91" s="10" t="inlineStr"/>
    </row>
    <row r="92">
      <c r="A92" s="9" t="inlineStr">
        <is>
          <t>Pandas</t>
        </is>
      </c>
      <c r="B92" s="9" t="inlineStr">
        <is>
          <t>Basics</t>
        </is>
      </c>
      <c r="C92" s="9" t="inlineStr">
        <is>
          <t>Series</t>
        </is>
      </c>
      <c r="D92" s="10" t="inlineStr">
        <is>
          <t>Day 19</t>
        </is>
      </c>
      <c r="E92" s="10" t="inlineStr">
        <is>
          <t>45 min</t>
        </is>
      </c>
      <c r="F92" s="10" t="inlineStr">
        <is>
          <t>☐ Not Started</t>
        </is>
      </c>
      <c r="G92" s="10">
        <f>IF(F92="☑ Completed", "COMPLETED", "NOT STARTED")</f>
        <v/>
      </c>
      <c r="H92" s="10" t="inlineStr">
        <is>
          <t>Day 22</t>
        </is>
      </c>
      <c r="I92" s="10" t="inlineStr">
        <is>
          <t>☐ Not Started</t>
        </is>
      </c>
      <c r="J92" s="10" t="inlineStr">
        <is>
          <t>Day 26</t>
        </is>
      </c>
      <c r="K92" s="10" t="inlineStr">
        <is>
          <t>☐ Not Started</t>
        </is>
      </c>
      <c r="L92" s="10" t="inlineStr"/>
    </row>
    <row r="93">
      <c r="A93" s="9" t="inlineStr">
        <is>
          <t>Pandas</t>
        </is>
      </c>
      <c r="B93" s="9" t="inlineStr">
        <is>
          <t>Basics</t>
        </is>
      </c>
      <c r="C93" s="9" t="inlineStr">
        <is>
          <t>DataFrame</t>
        </is>
      </c>
      <c r="D93" s="10" t="inlineStr">
        <is>
          <t>Day 19</t>
        </is>
      </c>
      <c r="E93" s="10" t="inlineStr">
        <is>
          <t>30 min</t>
        </is>
      </c>
      <c r="F93" s="10" t="inlineStr">
        <is>
          <t>☐ Not Started</t>
        </is>
      </c>
      <c r="G93" s="10">
        <f>IF(F93="☑ Completed", "COMPLETED", "NOT STARTED")</f>
        <v/>
      </c>
      <c r="H93" s="10" t="inlineStr">
        <is>
          <t>Day 22</t>
        </is>
      </c>
      <c r="I93" s="10" t="inlineStr">
        <is>
          <t>☐ Not Started</t>
        </is>
      </c>
      <c r="J93" s="10" t="inlineStr">
        <is>
          <t>Day 26</t>
        </is>
      </c>
      <c r="K93" s="10" t="inlineStr">
        <is>
          <t>☐ Not Started</t>
        </is>
      </c>
      <c r="L93" s="10" t="inlineStr"/>
    </row>
    <row r="94">
      <c r="A94" s="9" t="inlineStr">
        <is>
          <t>Pandas</t>
        </is>
      </c>
      <c r="B94" s="9" t="inlineStr">
        <is>
          <t>Basics</t>
        </is>
      </c>
      <c r="C94" s="9" t="inlineStr">
        <is>
          <t>Reading CSV</t>
        </is>
      </c>
      <c r="D94" s="10" t="inlineStr">
        <is>
          <t>Day 19</t>
        </is>
      </c>
      <c r="E94" s="10" t="inlineStr">
        <is>
          <t>30 min</t>
        </is>
      </c>
      <c r="F94" s="10" t="inlineStr">
        <is>
          <t>☐ Not Started</t>
        </is>
      </c>
      <c r="G94" s="10">
        <f>IF(F94="☑ Completed", "COMPLETED", "NOT STARTED")</f>
        <v/>
      </c>
      <c r="H94" s="10" t="inlineStr">
        <is>
          <t>Day 22</t>
        </is>
      </c>
      <c r="I94" s="10" t="inlineStr">
        <is>
          <t>☐ Not Started</t>
        </is>
      </c>
      <c r="J94" s="10" t="inlineStr">
        <is>
          <t>Day 26</t>
        </is>
      </c>
      <c r="K94" s="10" t="inlineStr">
        <is>
          <t>☐ Not Started</t>
        </is>
      </c>
      <c r="L94" s="10" t="inlineStr"/>
    </row>
    <row r="95">
      <c r="A95" s="9" t="inlineStr">
        <is>
          <t>Pandas</t>
        </is>
      </c>
      <c r="B95" s="9" t="inlineStr">
        <is>
          <t>Basics</t>
        </is>
      </c>
      <c r="C95" s="9" t="inlineStr">
        <is>
          <t>Reading Excel</t>
        </is>
      </c>
      <c r="D95" s="10" t="inlineStr">
        <is>
          <t>Day 19</t>
        </is>
      </c>
      <c r="E95" s="10" t="inlineStr">
        <is>
          <t>30 min</t>
        </is>
      </c>
      <c r="F95" s="10" t="inlineStr">
        <is>
          <t>☐ Not Started</t>
        </is>
      </c>
      <c r="G95" s="10">
        <f>IF(F95="☑ Completed", "COMPLETED", "NOT STARTED")</f>
        <v/>
      </c>
      <c r="H95" s="10" t="inlineStr">
        <is>
          <t>Day 22</t>
        </is>
      </c>
      <c r="I95" s="10" t="inlineStr">
        <is>
          <t>☐ Not Started</t>
        </is>
      </c>
      <c r="J95" s="10" t="inlineStr">
        <is>
          <t>Day 26</t>
        </is>
      </c>
      <c r="K95" s="10" t="inlineStr">
        <is>
          <t>☐ Not Started</t>
        </is>
      </c>
      <c r="L95" s="10" t="inlineStr"/>
    </row>
    <row r="96">
      <c r="A96" s="9" t="inlineStr">
        <is>
          <t>Pandas</t>
        </is>
      </c>
      <c r="B96" s="9" t="inlineStr">
        <is>
          <t>Basics</t>
        </is>
      </c>
      <c r="C96" s="9" t="inlineStr">
        <is>
          <t>head</t>
        </is>
      </c>
      <c r="D96" s="10" t="inlineStr">
        <is>
          <t>Day 19</t>
        </is>
      </c>
      <c r="E96" s="10" t="inlineStr">
        <is>
          <t>30 min</t>
        </is>
      </c>
      <c r="F96" s="10" t="inlineStr">
        <is>
          <t>☐ Not Started</t>
        </is>
      </c>
      <c r="G96" s="10">
        <f>IF(F96="☑ Completed", "COMPLETED", "NOT STARTED")</f>
        <v/>
      </c>
      <c r="H96" s="10" t="inlineStr">
        <is>
          <t>Day 22</t>
        </is>
      </c>
      <c r="I96" s="10" t="inlineStr">
        <is>
          <t>☐ Not Started</t>
        </is>
      </c>
      <c r="J96" s="10" t="inlineStr">
        <is>
          <t>Day 26</t>
        </is>
      </c>
      <c r="K96" s="10" t="inlineStr">
        <is>
          <t>☐ Not Started</t>
        </is>
      </c>
      <c r="L96" s="10" t="inlineStr"/>
    </row>
    <row r="97">
      <c r="A97" s="9" t="inlineStr">
        <is>
          <t>Pandas</t>
        </is>
      </c>
      <c r="B97" s="9" t="inlineStr">
        <is>
          <t>Basics</t>
        </is>
      </c>
      <c r="C97" s="9" t="inlineStr">
        <is>
          <t>tail</t>
        </is>
      </c>
      <c r="D97" s="10" t="inlineStr">
        <is>
          <t>Day 20</t>
        </is>
      </c>
      <c r="E97" s="10" t="inlineStr">
        <is>
          <t>45 min</t>
        </is>
      </c>
      <c r="F97" s="10" t="inlineStr">
        <is>
          <t>☐ Not Started</t>
        </is>
      </c>
      <c r="G97" s="10">
        <f>IF(F97="☑ Completed", "COMPLETED", "NOT STARTED")</f>
        <v/>
      </c>
      <c r="H97" s="10" t="inlineStr">
        <is>
          <t>Day 23</t>
        </is>
      </c>
      <c r="I97" s="10" t="inlineStr">
        <is>
          <t>☐ Not Started</t>
        </is>
      </c>
      <c r="J97" s="10" t="inlineStr">
        <is>
          <t>Day 27</t>
        </is>
      </c>
      <c r="K97" s="10" t="inlineStr">
        <is>
          <t>☐ Not Started</t>
        </is>
      </c>
      <c r="L97" s="10" t="inlineStr"/>
    </row>
    <row r="98">
      <c r="A98" s="9" t="inlineStr">
        <is>
          <t>Pandas</t>
        </is>
      </c>
      <c r="B98" s="9" t="inlineStr">
        <is>
          <t>Basics</t>
        </is>
      </c>
      <c r="C98" s="9" t="inlineStr">
        <is>
          <t>info</t>
        </is>
      </c>
      <c r="D98" s="10" t="inlineStr">
        <is>
          <t>Day 20</t>
        </is>
      </c>
      <c r="E98" s="10" t="inlineStr">
        <is>
          <t>30 min</t>
        </is>
      </c>
      <c r="F98" s="10" t="inlineStr">
        <is>
          <t>☐ Not Started</t>
        </is>
      </c>
      <c r="G98" s="10">
        <f>IF(F98="☑ Completed", "COMPLETED", "NOT STARTED")</f>
        <v/>
      </c>
      <c r="H98" s="10" t="inlineStr">
        <is>
          <t>Day 23</t>
        </is>
      </c>
      <c r="I98" s="10" t="inlineStr">
        <is>
          <t>☐ Not Started</t>
        </is>
      </c>
      <c r="J98" s="10" t="inlineStr">
        <is>
          <t>Day 27</t>
        </is>
      </c>
      <c r="K98" s="10" t="inlineStr">
        <is>
          <t>☐ Not Started</t>
        </is>
      </c>
      <c r="L98" s="10" t="inlineStr"/>
    </row>
    <row r="99">
      <c r="A99" s="9" t="inlineStr">
        <is>
          <t>Pandas</t>
        </is>
      </c>
      <c r="B99" s="9" t="inlineStr">
        <is>
          <t>Basics</t>
        </is>
      </c>
      <c r="C99" s="9" t="inlineStr">
        <is>
          <t>describe</t>
        </is>
      </c>
      <c r="D99" s="10" t="inlineStr">
        <is>
          <t>Day 20</t>
        </is>
      </c>
      <c r="E99" s="10" t="inlineStr">
        <is>
          <t>30 min</t>
        </is>
      </c>
      <c r="F99" s="10" t="inlineStr">
        <is>
          <t>☐ Not Started</t>
        </is>
      </c>
      <c r="G99" s="10">
        <f>IF(F99="☑ Completed", "COMPLETED", "NOT STARTED")</f>
        <v/>
      </c>
      <c r="H99" s="10" t="inlineStr">
        <is>
          <t>Day 23</t>
        </is>
      </c>
      <c r="I99" s="10" t="inlineStr">
        <is>
          <t>☐ Not Started</t>
        </is>
      </c>
      <c r="J99" s="10" t="inlineStr">
        <is>
          <t>Day 27</t>
        </is>
      </c>
      <c r="K99" s="10" t="inlineStr">
        <is>
          <t>☐ Not Started</t>
        </is>
      </c>
      <c r="L99" s="10" t="inlineStr"/>
    </row>
    <row r="100">
      <c r="A100" s="9" t="inlineStr">
        <is>
          <t>Pandas</t>
        </is>
      </c>
      <c r="B100" s="9" t="inlineStr">
        <is>
          <t>Basics</t>
        </is>
      </c>
      <c r="C100" s="9" t="inlineStr">
        <is>
          <t>Selecting columns</t>
        </is>
      </c>
      <c r="D100" s="10" t="inlineStr">
        <is>
          <t>Day 20</t>
        </is>
      </c>
      <c r="E100" s="10" t="inlineStr">
        <is>
          <t>30 min</t>
        </is>
      </c>
      <c r="F100" s="10" t="inlineStr">
        <is>
          <t>☐ Not Started</t>
        </is>
      </c>
      <c r="G100" s="10">
        <f>IF(F100="☑ Completed", "COMPLETED", "NOT STARTED")</f>
        <v/>
      </c>
      <c r="H100" s="10" t="inlineStr">
        <is>
          <t>Day 23</t>
        </is>
      </c>
      <c r="I100" s="10" t="inlineStr">
        <is>
          <t>☐ Not Started</t>
        </is>
      </c>
      <c r="J100" s="10" t="inlineStr">
        <is>
          <t>Day 27</t>
        </is>
      </c>
      <c r="K100" s="10" t="inlineStr">
        <is>
          <t>☐ Not Started</t>
        </is>
      </c>
      <c r="L100" s="10" t="inlineStr"/>
    </row>
    <row r="101">
      <c r="A101" s="9" t="inlineStr">
        <is>
          <t>Pandas</t>
        </is>
      </c>
      <c r="B101" s="9" t="inlineStr">
        <is>
          <t>Basics</t>
        </is>
      </c>
      <c r="C101" s="9" t="inlineStr">
        <is>
          <t>Filtering</t>
        </is>
      </c>
      <c r="D101" s="10" t="inlineStr">
        <is>
          <t>Day 20</t>
        </is>
      </c>
      <c r="E101" s="10" t="inlineStr">
        <is>
          <t>30 min</t>
        </is>
      </c>
      <c r="F101" s="10" t="inlineStr">
        <is>
          <t>☐ Not Started</t>
        </is>
      </c>
      <c r="G101" s="10">
        <f>IF(F101="☑ Completed", "COMPLETED", "NOT STARTED")</f>
        <v/>
      </c>
      <c r="H101" s="10" t="inlineStr">
        <is>
          <t>Day 23</t>
        </is>
      </c>
      <c r="I101" s="10" t="inlineStr">
        <is>
          <t>☐ Not Started</t>
        </is>
      </c>
      <c r="J101" s="10" t="inlineStr">
        <is>
          <t>Day 27</t>
        </is>
      </c>
      <c r="K101" s="10" t="inlineStr">
        <is>
          <t>☐ Not Started</t>
        </is>
      </c>
      <c r="L101" s="10" t="inlineStr"/>
    </row>
    <row r="102">
      <c r="A102" s="9" t="inlineStr">
        <is>
          <t>Pandas</t>
        </is>
      </c>
      <c r="B102" s="9" t="inlineStr">
        <is>
          <t>Basics</t>
        </is>
      </c>
      <c r="C102" s="9" t="inlineStr">
        <is>
          <t>Sorting</t>
        </is>
      </c>
      <c r="D102" s="10" t="inlineStr">
        <is>
          <t>Day 21</t>
        </is>
      </c>
      <c r="E102" s="10" t="inlineStr">
        <is>
          <t>45 min</t>
        </is>
      </c>
      <c r="F102" s="10" t="inlineStr">
        <is>
          <t>☐ Not Started</t>
        </is>
      </c>
      <c r="G102" s="10">
        <f>IF(F102="☑ Completed", "COMPLETED", "NOT STARTED")</f>
        <v/>
      </c>
      <c r="H102" s="10" t="inlineStr">
        <is>
          <t>Day 24</t>
        </is>
      </c>
      <c r="I102" s="10" t="inlineStr">
        <is>
          <t>☐ Not Started</t>
        </is>
      </c>
      <c r="J102" s="10" t="inlineStr">
        <is>
          <t>Day 28</t>
        </is>
      </c>
      <c r="K102" s="10" t="inlineStr">
        <is>
          <t>☐ Not Started</t>
        </is>
      </c>
      <c r="L102" s="10" t="inlineStr"/>
    </row>
    <row r="103">
      <c r="A103" s="9" t="inlineStr">
        <is>
          <t>Pandas</t>
        </is>
      </c>
      <c r="B103" s="9" t="inlineStr">
        <is>
          <t>Advanced</t>
        </is>
      </c>
      <c r="C103" s="9" t="inlineStr">
        <is>
          <t>Missing values</t>
        </is>
      </c>
      <c r="D103" s="10" t="inlineStr">
        <is>
          <t>Day 21</t>
        </is>
      </c>
      <c r="E103" s="10" t="inlineStr">
        <is>
          <t>30 min</t>
        </is>
      </c>
      <c r="F103" s="10" t="inlineStr">
        <is>
          <t>☐ Not Started</t>
        </is>
      </c>
      <c r="G103" s="10">
        <f>IF(F103="☑ Completed", "COMPLETED", "NOT STARTED")</f>
        <v/>
      </c>
      <c r="H103" s="10" t="inlineStr">
        <is>
          <t>Day 24</t>
        </is>
      </c>
      <c r="I103" s="10" t="inlineStr">
        <is>
          <t>☐ Not Started</t>
        </is>
      </c>
      <c r="J103" s="10" t="inlineStr">
        <is>
          <t>Day 28</t>
        </is>
      </c>
      <c r="K103" s="10" t="inlineStr">
        <is>
          <t>☐ Not Started</t>
        </is>
      </c>
      <c r="L103" s="10" t="inlineStr"/>
    </row>
    <row r="104">
      <c r="A104" s="9" t="inlineStr">
        <is>
          <t>Pandas</t>
        </is>
      </c>
      <c r="B104" s="9" t="inlineStr">
        <is>
          <t>Advanced</t>
        </is>
      </c>
      <c r="C104" s="9" t="inlineStr">
        <is>
          <t>fillna</t>
        </is>
      </c>
      <c r="D104" s="10" t="inlineStr">
        <is>
          <t>Day 21</t>
        </is>
      </c>
      <c r="E104" s="10" t="inlineStr">
        <is>
          <t>30 min</t>
        </is>
      </c>
      <c r="F104" s="10" t="inlineStr">
        <is>
          <t>☐ Not Started</t>
        </is>
      </c>
      <c r="G104" s="10">
        <f>IF(F104="☑ Completed", "COMPLETED", "NOT STARTED")</f>
        <v/>
      </c>
      <c r="H104" s="10" t="inlineStr">
        <is>
          <t>Day 24</t>
        </is>
      </c>
      <c r="I104" s="10" t="inlineStr">
        <is>
          <t>☐ Not Started</t>
        </is>
      </c>
      <c r="J104" s="10" t="inlineStr">
        <is>
          <t>Day 28</t>
        </is>
      </c>
      <c r="K104" s="10" t="inlineStr">
        <is>
          <t>☐ Not Started</t>
        </is>
      </c>
      <c r="L104" s="10" t="inlineStr"/>
    </row>
    <row r="105">
      <c r="A105" s="9" t="inlineStr">
        <is>
          <t>Pandas</t>
        </is>
      </c>
      <c r="B105" s="9" t="inlineStr">
        <is>
          <t>Advanced</t>
        </is>
      </c>
      <c r="C105" s="9" t="inlineStr">
        <is>
          <t>dropna</t>
        </is>
      </c>
      <c r="D105" s="10" t="inlineStr">
        <is>
          <t>Day 21</t>
        </is>
      </c>
      <c r="E105" s="10" t="inlineStr">
        <is>
          <t>30 min</t>
        </is>
      </c>
      <c r="F105" s="10" t="inlineStr">
        <is>
          <t>☐ Not Started</t>
        </is>
      </c>
      <c r="G105" s="10">
        <f>IF(F105="☑ Completed", "COMPLETED", "NOT STARTED")</f>
        <v/>
      </c>
      <c r="H105" s="10" t="inlineStr">
        <is>
          <t>Day 24</t>
        </is>
      </c>
      <c r="I105" s="10" t="inlineStr">
        <is>
          <t>☐ Not Started</t>
        </is>
      </c>
      <c r="J105" s="10" t="inlineStr">
        <is>
          <t>Day 28</t>
        </is>
      </c>
      <c r="K105" s="10" t="inlineStr">
        <is>
          <t>☐ Not Started</t>
        </is>
      </c>
      <c r="L105" s="10" t="inlineStr"/>
    </row>
    <row r="106">
      <c r="A106" s="9" t="inlineStr">
        <is>
          <t>Pandas</t>
        </is>
      </c>
      <c r="B106" s="9" t="inlineStr">
        <is>
          <t>Advanced</t>
        </is>
      </c>
      <c r="C106" s="9" t="inlineStr">
        <is>
          <t>Duplicates</t>
        </is>
      </c>
      <c r="D106" s="10" t="inlineStr">
        <is>
          <t>Day 21</t>
        </is>
      </c>
      <c r="E106" s="10" t="inlineStr">
        <is>
          <t>30 min</t>
        </is>
      </c>
      <c r="F106" s="10" t="inlineStr">
        <is>
          <t>☐ Not Started</t>
        </is>
      </c>
      <c r="G106" s="10">
        <f>IF(F106="☑ Completed", "COMPLETED", "NOT STARTED")</f>
        <v/>
      </c>
      <c r="H106" s="10" t="inlineStr">
        <is>
          <t>Day 24</t>
        </is>
      </c>
      <c r="I106" s="10" t="inlineStr">
        <is>
          <t>☐ Not Started</t>
        </is>
      </c>
      <c r="J106" s="10" t="inlineStr">
        <is>
          <t>Day 28</t>
        </is>
      </c>
      <c r="K106" s="10" t="inlineStr">
        <is>
          <t>☐ Not Started</t>
        </is>
      </c>
      <c r="L106" s="10" t="inlineStr"/>
    </row>
    <row r="107">
      <c r="A107" s="9" t="inlineStr">
        <is>
          <t>Pandas</t>
        </is>
      </c>
      <c r="B107" s="9" t="inlineStr">
        <is>
          <t>Advanced</t>
        </is>
      </c>
      <c r="C107" s="9" t="inlineStr">
        <is>
          <t>GroupBy</t>
        </is>
      </c>
      <c r="D107" s="10" t="inlineStr">
        <is>
          <t>Day 22</t>
        </is>
      </c>
      <c r="E107" s="10" t="inlineStr">
        <is>
          <t>45 min</t>
        </is>
      </c>
      <c r="F107" s="10" t="inlineStr">
        <is>
          <t>☐ Not Started</t>
        </is>
      </c>
      <c r="G107" s="10">
        <f>IF(F107="☑ Completed", "COMPLETED", "NOT STARTED")</f>
        <v/>
      </c>
      <c r="H107" s="10" t="inlineStr">
        <is>
          <t>Day 25</t>
        </is>
      </c>
      <c r="I107" s="10" t="inlineStr">
        <is>
          <t>☐ Not Started</t>
        </is>
      </c>
      <c r="J107" s="10" t="inlineStr">
        <is>
          <t>Day 29</t>
        </is>
      </c>
      <c r="K107" s="10" t="inlineStr">
        <is>
          <t>☐ Not Started</t>
        </is>
      </c>
      <c r="L107" s="10" t="inlineStr"/>
    </row>
    <row r="108">
      <c r="A108" s="9" t="inlineStr">
        <is>
          <t>Pandas</t>
        </is>
      </c>
      <c r="B108" s="9" t="inlineStr">
        <is>
          <t>Advanced</t>
        </is>
      </c>
      <c r="C108" s="9" t="inlineStr">
        <is>
          <t>Aggregation</t>
        </is>
      </c>
      <c r="D108" s="10" t="inlineStr">
        <is>
          <t>Day 22</t>
        </is>
      </c>
      <c r="E108" s="10" t="inlineStr">
        <is>
          <t>30 min</t>
        </is>
      </c>
      <c r="F108" s="10" t="inlineStr">
        <is>
          <t>☐ Not Started</t>
        </is>
      </c>
      <c r="G108" s="10">
        <f>IF(F108="☑ Completed", "COMPLETED", "NOT STARTED")</f>
        <v/>
      </c>
      <c r="H108" s="10" t="inlineStr">
        <is>
          <t>Day 25</t>
        </is>
      </c>
      <c r="I108" s="10" t="inlineStr">
        <is>
          <t>☐ Not Started</t>
        </is>
      </c>
      <c r="J108" s="10" t="inlineStr">
        <is>
          <t>Day 29</t>
        </is>
      </c>
      <c r="K108" s="10" t="inlineStr">
        <is>
          <t>☐ Not Started</t>
        </is>
      </c>
      <c r="L108" s="10" t="inlineStr"/>
    </row>
    <row r="109">
      <c r="A109" s="9" t="inlineStr">
        <is>
          <t>Pandas</t>
        </is>
      </c>
      <c r="B109" s="9" t="inlineStr">
        <is>
          <t>Advanced</t>
        </is>
      </c>
      <c r="C109" s="9" t="inlineStr">
        <is>
          <t>Merge</t>
        </is>
      </c>
      <c r="D109" s="10" t="inlineStr">
        <is>
          <t>Day 22</t>
        </is>
      </c>
      <c r="E109" s="10" t="inlineStr">
        <is>
          <t>30 min</t>
        </is>
      </c>
      <c r="F109" s="10" t="inlineStr">
        <is>
          <t>☐ Not Started</t>
        </is>
      </c>
      <c r="G109" s="10">
        <f>IF(F109="☑ Completed", "COMPLETED", "NOT STARTED")</f>
        <v/>
      </c>
      <c r="H109" s="10" t="inlineStr">
        <is>
          <t>Day 25</t>
        </is>
      </c>
      <c r="I109" s="10" t="inlineStr">
        <is>
          <t>☐ Not Started</t>
        </is>
      </c>
      <c r="J109" s="10" t="inlineStr">
        <is>
          <t>Day 29</t>
        </is>
      </c>
      <c r="K109" s="10" t="inlineStr">
        <is>
          <t>☐ Not Started</t>
        </is>
      </c>
      <c r="L109" s="10" t="inlineStr"/>
    </row>
    <row r="110">
      <c r="A110" s="9" t="inlineStr">
        <is>
          <t>Pandas</t>
        </is>
      </c>
      <c r="B110" s="9" t="inlineStr">
        <is>
          <t>Advanced</t>
        </is>
      </c>
      <c r="C110" s="9" t="inlineStr">
        <is>
          <t>Join</t>
        </is>
      </c>
      <c r="D110" s="10" t="inlineStr">
        <is>
          <t>Day 22</t>
        </is>
      </c>
      <c r="E110" s="10" t="inlineStr">
        <is>
          <t>30 min</t>
        </is>
      </c>
      <c r="F110" s="10" t="inlineStr">
        <is>
          <t>☐ Not Started</t>
        </is>
      </c>
      <c r="G110" s="10">
        <f>IF(F110="☑ Completed", "COMPLETED", "NOT STARTED")</f>
        <v/>
      </c>
      <c r="H110" s="10" t="inlineStr">
        <is>
          <t>Day 25</t>
        </is>
      </c>
      <c r="I110" s="10" t="inlineStr">
        <is>
          <t>☐ Not Started</t>
        </is>
      </c>
      <c r="J110" s="10" t="inlineStr">
        <is>
          <t>Day 29</t>
        </is>
      </c>
      <c r="K110" s="10" t="inlineStr">
        <is>
          <t>☐ Not Started</t>
        </is>
      </c>
      <c r="L110" s="10" t="inlineStr"/>
    </row>
    <row r="111">
      <c r="A111" s="9" t="inlineStr">
        <is>
          <t>Pandas</t>
        </is>
      </c>
      <c r="B111" s="9" t="inlineStr">
        <is>
          <t>Advanced</t>
        </is>
      </c>
      <c r="C111" s="9" t="inlineStr">
        <is>
          <t>Concat</t>
        </is>
      </c>
      <c r="D111" s="10" t="inlineStr">
        <is>
          <t>Day 22</t>
        </is>
      </c>
      <c r="E111" s="10" t="inlineStr">
        <is>
          <t>30 min</t>
        </is>
      </c>
      <c r="F111" s="10" t="inlineStr">
        <is>
          <t>☐ Not Started</t>
        </is>
      </c>
      <c r="G111" s="10">
        <f>IF(F111="☑ Completed", "COMPLETED", "NOT STARTED")</f>
        <v/>
      </c>
      <c r="H111" s="10" t="inlineStr">
        <is>
          <t>Day 25</t>
        </is>
      </c>
      <c r="I111" s="10" t="inlineStr">
        <is>
          <t>☐ Not Started</t>
        </is>
      </c>
      <c r="J111" s="10" t="inlineStr">
        <is>
          <t>Day 29</t>
        </is>
      </c>
      <c r="K111" s="10" t="inlineStr">
        <is>
          <t>☐ Not Started</t>
        </is>
      </c>
      <c r="L111" s="10" t="inlineStr"/>
    </row>
    <row r="112">
      <c r="A112" s="9" t="inlineStr">
        <is>
          <t>Pandas</t>
        </is>
      </c>
      <c r="B112" s="9" t="inlineStr">
        <is>
          <t>Advanced</t>
        </is>
      </c>
      <c r="C112" s="9" t="inlineStr">
        <is>
          <t>Data cleaning</t>
        </is>
      </c>
      <c r="D112" s="10" t="inlineStr">
        <is>
          <t>Day 23</t>
        </is>
      </c>
      <c r="E112" s="10" t="inlineStr">
        <is>
          <t>45 min</t>
        </is>
      </c>
      <c r="F112" s="10" t="inlineStr">
        <is>
          <t>☐ Not Started</t>
        </is>
      </c>
      <c r="G112" s="10">
        <f>IF(F112="☑ Completed", "COMPLETED", "NOT STARTED")</f>
        <v/>
      </c>
      <c r="H112" s="10" t="inlineStr">
        <is>
          <t>Day 26</t>
        </is>
      </c>
      <c r="I112" s="10" t="inlineStr">
        <is>
          <t>☐ Not Started</t>
        </is>
      </c>
      <c r="J112" s="10" t="inlineStr">
        <is>
          <t>Day 30</t>
        </is>
      </c>
      <c r="K112" s="10" t="inlineStr">
        <is>
          <t>☐ Not Started</t>
        </is>
      </c>
      <c r="L112" s="10" t="inlineStr"/>
    </row>
    <row r="113">
      <c r="A113" s="9" t="inlineStr">
        <is>
          <t>Pandas</t>
        </is>
      </c>
      <c r="B113" s="9" t="inlineStr">
        <is>
          <t>Advanced</t>
        </is>
      </c>
      <c r="C113" s="9" t="inlineStr">
        <is>
          <t>Basic EDA</t>
        </is>
      </c>
      <c r="D113" s="10" t="inlineStr">
        <is>
          <t>Day 23</t>
        </is>
      </c>
      <c r="E113" s="10" t="inlineStr">
        <is>
          <t>30 min</t>
        </is>
      </c>
      <c r="F113" s="10" t="inlineStr">
        <is>
          <t>☐ Not Started</t>
        </is>
      </c>
      <c r="G113" s="10">
        <f>IF(F113="☑ Completed", "COMPLETED", "NOT STARTED")</f>
        <v/>
      </c>
      <c r="H113" s="10" t="inlineStr">
        <is>
          <t>Day 26</t>
        </is>
      </c>
      <c r="I113" s="10" t="inlineStr">
        <is>
          <t>☐ Not Started</t>
        </is>
      </c>
      <c r="J113" s="10" t="inlineStr">
        <is>
          <t>Day 30</t>
        </is>
      </c>
      <c r="K113" s="10" t="inlineStr">
        <is>
          <t>☐ Not Started</t>
        </is>
      </c>
      <c r="L113" s="10" t="inlineStr"/>
    </row>
    <row r="114">
      <c r="A114" s="9" t="inlineStr">
        <is>
          <t>SQL</t>
        </is>
      </c>
      <c r="B114" s="9" t="inlineStr">
        <is>
          <t>Queries</t>
        </is>
      </c>
      <c r="C114" s="9" t="inlineStr">
        <is>
          <t>SELECT</t>
        </is>
      </c>
      <c r="D114" s="10" t="inlineStr">
        <is>
          <t>Day 23</t>
        </is>
      </c>
      <c r="E114" s="10" t="inlineStr">
        <is>
          <t>30 min</t>
        </is>
      </c>
      <c r="F114" s="10" t="inlineStr">
        <is>
          <t>☐ Not Started</t>
        </is>
      </c>
      <c r="G114" s="10">
        <f>IF(F114="☑ Completed", "COMPLETED", "NOT STARTED")</f>
        <v/>
      </c>
      <c r="H114" s="10" t="inlineStr">
        <is>
          <t>Day 26</t>
        </is>
      </c>
      <c r="I114" s="10" t="inlineStr">
        <is>
          <t>☐ Not Started</t>
        </is>
      </c>
      <c r="J114" s="10" t="inlineStr">
        <is>
          <t>Day 30</t>
        </is>
      </c>
      <c r="K114" s="10" t="inlineStr">
        <is>
          <t>☐ Not Started</t>
        </is>
      </c>
      <c r="L114" s="10" t="inlineStr"/>
    </row>
    <row r="115">
      <c r="A115" s="9" t="inlineStr">
        <is>
          <t>SQL</t>
        </is>
      </c>
      <c r="B115" s="9" t="inlineStr">
        <is>
          <t>Queries</t>
        </is>
      </c>
      <c r="C115" s="9" t="inlineStr">
        <is>
          <t>WHERE</t>
        </is>
      </c>
      <c r="D115" s="10" t="inlineStr">
        <is>
          <t>Day 23</t>
        </is>
      </c>
      <c r="E115" s="10" t="inlineStr">
        <is>
          <t>30 min</t>
        </is>
      </c>
      <c r="F115" s="10" t="inlineStr">
        <is>
          <t>☐ Not Started</t>
        </is>
      </c>
      <c r="G115" s="10">
        <f>IF(F115="☑ Completed", "COMPLETED", "NOT STARTED")</f>
        <v/>
      </c>
      <c r="H115" s="10" t="inlineStr">
        <is>
          <t>Day 26</t>
        </is>
      </c>
      <c r="I115" s="10" t="inlineStr">
        <is>
          <t>☐ Not Started</t>
        </is>
      </c>
      <c r="J115" s="10" t="inlineStr">
        <is>
          <t>Day 30</t>
        </is>
      </c>
      <c r="K115" s="10" t="inlineStr">
        <is>
          <t>☐ Not Started</t>
        </is>
      </c>
      <c r="L115" s="10" t="inlineStr"/>
    </row>
    <row r="116">
      <c r="A116" s="9" t="inlineStr">
        <is>
          <t>SQL</t>
        </is>
      </c>
      <c r="B116" s="9" t="inlineStr">
        <is>
          <t>Queries</t>
        </is>
      </c>
      <c r="C116" s="9" t="inlineStr">
        <is>
          <t>AND</t>
        </is>
      </c>
      <c r="D116" s="10" t="inlineStr">
        <is>
          <t>Day 23</t>
        </is>
      </c>
      <c r="E116" s="10" t="inlineStr">
        <is>
          <t>30 min</t>
        </is>
      </c>
      <c r="F116" s="10" t="inlineStr">
        <is>
          <t>☐ Not Started</t>
        </is>
      </c>
      <c r="G116" s="10">
        <f>IF(F116="☑ Completed", "COMPLETED", "NOT STARTED")</f>
        <v/>
      </c>
      <c r="H116" s="10" t="inlineStr">
        <is>
          <t>Day 26</t>
        </is>
      </c>
      <c r="I116" s="10" t="inlineStr">
        <is>
          <t>☐ Not Started</t>
        </is>
      </c>
      <c r="J116" s="10" t="inlineStr">
        <is>
          <t>Day 30</t>
        </is>
      </c>
      <c r="K116" s="10" t="inlineStr">
        <is>
          <t>☐ Not Started</t>
        </is>
      </c>
      <c r="L116" s="10" t="inlineStr"/>
    </row>
    <row r="117">
      <c r="A117" s="9" t="inlineStr">
        <is>
          <t>SQL</t>
        </is>
      </c>
      <c r="B117" s="9" t="inlineStr">
        <is>
          <t>Queries</t>
        </is>
      </c>
      <c r="C117" s="9" t="inlineStr">
        <is>
          <t>OR</t>
        </is>
      </c>
      <c r="D117" s="10" t="inlineStr">
        <is>
          <t>Day 24</t>
        </is>
      </c>
      <c r="E117" s="10" t="inlineStr">
        <is>
          <t>45 min</t>
        </is>
      </c>
      <c r="F117" s="10" t="inlineStr">
        <is>
          <t>☐ Not Started</t>
        </is>
      </c>
      <c r="G117" s="10">
        <f>IF(F117="☑ Completed", "COMPLETED", "NOT STARTED")</f>
        <v/>
      </c>
      <c r="H117" s="10" t="inlineStr">
        <is>
          <t>Day 27</t>
        </is>
      </c>
      <c r="I117" s="10" t="inlineStr">
        <is>
          <t>☐ Not Started</t>
        </is>
      </c>
      <c r="J117" s="10" t="inlineStr">
        <is>
          <t>Day 31</t>
        </is>
      </c>
      <c r="K117" s="10" t="inlineStr">
        <is>
          <t>☐ Not Started</t>
        </is>
      </c>
      <c r="L117" s="10" t="inlineStr"/>
    </row>
    <row r="118">
      <c r="A118" s="9" t="inlineStr">
        <is>
          <t>SQL</t>
        </is>
      </c>
      <c r="B118" s="9" t="inlineStr">
        <is>
          <t>Queries</t>
        </is>
      </c>
      <c r="C118" s="9" t="inlineStr">
        <is>
          <t>IN</t>
        </is>
      </c>
      <c r="D118" s="10" t="inlineStr">
        <is>
          <t>Day 24</t>
        </is>
      </c>
      <c r="E118" s="10" t="inlineStr">
        <is>
          <t>30 min</t>
        </is>
      </c>
      <c r="F118" s="10" t="inlineStr">
        <is>
          <t>☐ Not Started</t>
        </is>
      </c>
      <c r="G118" s="10">
        <f>IF(F118="☑ Completed", "COMPLETED", "NOT STARTED")</f>
        <v/>
      </c>
      <c r="H118" s="10" t="inlineStr">
        <is>
          <t>Day 27</t>
        </is>
      </c>
      <c r="I118" s="10" t="inlineStr">
        <is>
          <t>☐ Not Started</t>
        </is>
      </c>
      <c r="J118" s="10" t="inlineStr">
        <is>
          <t>Day 31</t>
        </is>
      </c>
      <c r="K118" s="10" t="inlineStr">
        <is>
          <t>☐ Not Started</t>
        </is>
      </c>
      <c r="L118" s="10" t="inlineStr"/>
    </row>
    <row r="119">
      <c r="A119" s="9" t="inlineStr">
        <is>
          <t>SQL</t>
        </is>
      </c>
      <c r="B119" s="9" t="inlineStr">
        <is>
          <t>Queries</t>
        </is>
      </c>
      <c r="C119" s="9" t="inlineStr">
        <is>
          <t>BETWEEN</t>
        </is>
      </c>
      <c r="D119" s="10" t="inlineStr">
        <is>
          <t>Day 24</t>
        </is>
      </c>
      <c r="E119" s="10" t="inlineStr">
        <is>
          <t>30 min</t>
        </is>
      </c>
      <c r="F119" s="10" t="inlineStr">
        <is>
          <t>☐ Not Started</t>
        </is>
      </c>
      <c r="G119" s="10">
        <f>IF(F119="☑ Completed", "COMPLETED", "NOT STARTED")</f>
        <v/>
      </c>
      <c r="H119" s="10" t="inlineStr">
        <is>
          <t>Day 27</t>
        </is>
      </c>
      <c r="I119" s="10" t="inlineStr">
        <is>
          <t>☐ Not Started</t>
        </is>
      </c>
      <c r="J119" s="10" t="inlineStr">
        <is>
          <t>Day 31</t>
        </is>
      </c>
      <c r="K119" s="10" t="inlineStr">
        <is>
          <t>☐ Not Started</t>
        </is>
      </c>
      <c r="L119" s="10" t="inlineStr"/>
    </row>
    <row r="120">
      <c r="A120" s="9" t="inlineStr">
        <is>
          <t>SQL</t>
        </is>
      </c>
      <c r="B120" s="9" t="inlineStr">
        <is>
          <t>Queries</t>
        </is>
      </c>
      <c r="C120" s="9" t="inlineStr">
        <is>
          <t>LIKE</t>
        </is>
      </c>
      <c r="D120" s="10" t="inlineStr">
        <is>
          <t>Day 24</t>
        </is>
      </c>
      <c r="E120" s="10" t="inlineStr">
        <is>
          <t>30 min</t>
        </is>
      </c>
      <c r="F120" s="10" t="inlineStr">
        <is>
          <t>☐ Not Started</t>
        </is>
      </c>
      <c r="G120" s="10">
        <f>IF(F120="☑ Completed", "COMPLETED", "NOT STARTED")</f>
        <v/>
      </c>
      <c r="H120" s="10" t="inlineStr">
        <is>
          <t>Day 27</t>
        </is>
      </c>
      <c r="I120" s="10" t="inlineStr">
        <is>
          <t>☐ Not Started</t>
        </is>
      </c>
      <c r="J120" s="10" t="inlineStr">
        <is>
          <t>Day 31</t>
        </is>
      </c>
      <c r="K120" s="10" t="inlineStr">
        <is>
          <t>☐ Not Started</t>
        </is>
      </c>
      <c r="L120" s="10" t="inlineStr"/>
    </row>
    <row r="121">
      <c r="A121" s="9" t="inlineStr">
        <is>
          <t>SQL</t>
        </is>
      </c>
      <c r="B121" s="9" t="inlineStr">
        <is>
          <t>Queries</t>
        </is>
      </c>
      <c r="C121" s="9" t="inlineStr">
        <is>
          <t>ORDER BY</t>
        </is>
      </c>
      <c r="D121" s="10" t="inlineStr">
        <is>
          <t>Day 24</t>
        </is>
      </c>
      <c r="E121" s="10" t="inlineStr">
        <is>
          <t>30 min</t>
        </is>
      </c>
      <c r="F121" s="10" t="inlineStr">
        <is>
          <t>☐ Not Started</t>
        </is>
      </c>
      <c r="G121" s="10">
        <f>IF(F121="☑ Completed", "COMPLETED", "NOT STARTED")</f>
        <v/>
      </c>
      <c r="H121" s="10" t="inlineStr">
        <is>
          <t>Day 27</t>
        </is>
      </c>
      <c r="I121" s="10" t="inlineStr">
        <is>
          <t>☐ Not Started</t>
        </is>
      </c>
      <c r="J121" s="10" t="inlineStr">
        <is>
          <t>Day 31</t>
        </is>
      </c>
      <c r="K121" s="10" t="inlineStr">
        <is>
          <t>☐ Not Started</t>
        </is>
      </c>
      <c r="L121" s="10" t="inlineStr"/>
    </row>
    <row r="122">
      <c r="A122" s="9" t="inlineStr">
        <is>
          <t>SQL</t>
        </is>
      </c>
      <c r="B122" s="9" t="inlineStr">
        <is>
          <t>Queries</t>
        </is>
      </c>
      <c r="C122" s="9" t="inlineStr">
        <is>
          <t>GROUP BY</t>
        </is>
      </c>
      <c r="D122" s="10" t="inlineStr">
        <is>
          <t>Day 25</t>
        </is>
      </c>
      <c r="E122" s="10" t="inlineStr">
        <is>
          <t>45 min</t>
        </is>
      </c>
      <c r="F122" s="10" t="inlineStr">
        <is>
          <t>☐ Not Started</t>
        </is>
      </c>
      <c r="G122" s="10">
        <f>IF(F122="☑ Completed", "COMPLETED", "NOT STARTED")</f>
        <v/>
      </c>
      <c r="H122" s="10" t="inlineStr">
        <is>
          <t>Day 28</t>
        </is>
      </c>
      <c r="I122" s="10" t="inlineStr">
        <is>
          <t>☐ Not Started</t>
        </is>
      </c>
      <c r="J122" s="10" t="inlineStr">
        <is>
          <t>Day 32</t>
        </is>
      </c>
      <c r="K122" s="10" t="inlineStr">
        <is>
          <t>☐ Not Started</t>
        </is>
      </c>
      <c r="L122" s="10" t="inlineStr"/>
    </row>
    <row r="123">
      <c r="A123" s="9" t="inlineStr">
        <is>
          <t>SQL</t>
        </is>
      </c>
      <c r="B123" s="9" t="inlineStr">
        <is>
          <t>Queries</t>
        </is>
      </c>
      <c r="C123" s="9" t="inlineStr">
        <is>
          <t>HAVING</t>
        </is>
      </c>
      <c r="D123" s="10" t="inlineStr">
        <is>
          <t>Day 25</t>
        </is>
      </c>
      <c r="E123" s="10" t="inlineStr">
        <is>
          <t>30 min</t>
        </is>
      </c>
      <c r="F123" s="10" t="inlineStr">
        <is>
          <t>☐ Not Started</t>
        </is>
      </c>
      <c r="G123" s="10">
        <f>IF(F123="☑ Completed", "COMPLETED", "NOT STARTED")</f>
        <v/>
      </c>
      <c r="H123" s="10" t="inlineStr">
        <is>
          <t>Day 28</t>
        </is>
      </c>
      <c r="I123" s="10" t="inlineStr">
        <is>
          <t>☐ Not Started</t>
        </is>
      </c>
      <c r="J123" s="10" t="inlineStr">
        <is>
          <t>Day 32</t>
        </is>
      </c>
      <c r="K123" s="10" t="inlineStr">
        <is>
          <t>☐ Not Started</t>
        </is>
      </c>
      <c r="L123" s="10" t="inlineStr"/>
    </row>
    <row r="124">
      <c r="A124" s="9" t="inlineStr">
        <is>
          <t>SQL</t>
        </is>
      </c>
      <c r="B124" s="9" t="inlineStr">
        <is>
          <t>Queries</t>
        </is>
      </c>
      <c r="C124" s="9" t="inlineStr">
        <is>
          <t>COUNT</t>
        </is>
      </c>
      <c r="D124" s="10" t="inlineStr">
        <is>
          <t>Day 25</t>
        </is>
      </c>
      <c r="E124" s="10" t="inlineStr">
        <is>
          <t>30 min</t>
        </is>
      </c>
      <c r="F124" s="10" t="inlineStr">
        <is>
          <t>☐ Not Started</t>
        </is>
      </c>
      <c r="G124" s="10">
        <f>IF(F124="☑ Completed", "COMPLETED", "NOT STARTED")</f>
        <v/>
      </c>
      <c r="H124" s="10" t="inlineStr">
        <is>
          <t>Day 28</t>
        </is>
      </c>
      <c r="I124" s="10" t="inlineStr">
        <is>
          <t>☐ Not Started</t>
        </is>
      </c>
      <c r="J124" s="10" t="inlineStr">
        <is>
          <t>Day 32</t>
        </is>
      </c>
      <c r="K124" s="10" t="inlineStr">
        <is>
          <t>☐ Not Started</t>
        </is>
      </c>
      <c r="L124" s="10" t="inlineStr"/>
    </row>
    <row r="125">
      <c r="A125" s="9" t="inlineStr">
        <is>
          <t>SQL</t>
        </is>
      </c>
      <c r="B125" s="9" t="inlineStr">
        <is>
          <t>Queries</t>
        </is>
      </c>
      <c r="C125" s="9" t="inlineStr">
        <is>
          <t>SUM</t>
        </is>
      </c>
      <c r="D125" s="10" t="inlineStr">
        <is>
          <t>Day 25</t>
        </is>
      </c>
      <c r="E125" s="10" t="inlineStr">
        <is>
          <t>30 min</t>
        </is>
      </c>
      <c r="F125" s="10" t="inlineStr">
        <is>
          <t>☐ Not Started</t>
        </is>
      </c>
      <c r="G125" s="10">
        <f>IF(F125="☑ Completed", "COMPLETED", "NOT STARTED")</f>
        <v/>
      </c>
      <c r="H125" s="10" t="inlineStr">
        <is>
          <t>Day 28</t>
        </is>
      </c>
      <c r="I125" s="10" t="inlineStr">
        <is>
          <t>☐ Not Started</t>
        </is>
      </c>
      <c r="J125" s="10" t="inlineStr">
        <is>
          <t>Day 32</t>
        </is>
      </c>
      <c r="K125" s="10" t="inlineStr">
        <is>
          <t>☐ Not Started</t>
        </is>
      </c>
      <c r="L125" s="10" t="inlineStr"/>
    </row>
    <row r="126">
      <c r="A126" s="9" t="inlineStr">
        <is>
          <t>SQL</t>
        </is>
      </c>
      <c r="B126" s="9" t="inlineStr">
        <is>
          <t>Queries</t>
        </is>
      </c>
      <c r="C126" s="9" t="inlineStr">
        <is>
          <t>AVG</t>
        </is>
      </c>
      <c r="D126" s="10" t="inlineStr">
        <is>
          <t>Day 25</t>
        </is>
      </c>
      <c r="E126" s="10" t="inlineStr">
        <is>
          <t>30 min</t>
        </is>
      </c>
      <c r="F126" s="10" t="inlineStr">
        <is>
          <t>☐ Not Started</t>
        </is>
      </c>
      <c r="G126" s="10">
        <f>IF(F126="☑ Completed", "COMPLETED", "NOT STARTED")</f>
        <v/>
      </c>
      <c r="H126" s="10" t="inlineStr">
        <is>
          <t>Day 28</t>
        </is>
      </c>
      <c r="I126" s="10" t="inlineStr">
        <is>
          <t>☐ Not Started</t>
        </is>
      </c>
      <c r="J126" s="10" t="inlineStr">
        <is>
          <t>Day 32</t>
        </is>
      </c>
      <c r="K126" s="10" t="inlineStr">
        <is>
          <t>☐ Not Started</t>
        </is>
      </c>
      <c r="L126" s="10" t="inlineStr"/>
    </row>
    <row r="127">
      <c r="A127" s="9" t="inlineStr">
        <is>
          <t>SQL</t>
        </is>
      </c>
      <c r="B127" s="9" t="inlineStr">
        <is>
          <t>Queries</t>
        </is>
      </c>
      <c r="C127" s="9" t="inlineStr">
        <is>
          <t>MIN</t>
        </is>
      </c>
      <c r="D127" s="10" t="inlineStr">
        <is>
          <t>Day 26</t>
        </is>
      </c>
      <c r="E127" s="10" t="inlineStr">
        <is>
          <t>45 min</t>
        </is>
      </c>
      <c r="F127" s="10" t="inlineStr">
        <is>
          <t>☐ Not Started</t>
        </is>
      </c>
      <c r="G127" s="10">
        <f>IF(F127="☑ Completed", "COMPLETED", "NOT STARTED")</f>
        <v/>
      </c>
      <c r="H127" s="10" t="inlineStr">
        <is>
          <t>Day 29</t>
        </is>
      </c>
      <c r="I127" s="10" t="inlineStr">
        <is>
          <t>☐ Not Started</t>
        </is>
      </c>
      <c r="J127" s="10" t="inlineStr">
        <is>
          <t>Day 33</t>
        </is>
      </c>
      <c r="K127" s="10" t="inlineStr">
        <is>
          <t>☐ Not Started</t>
        </is>
      </c>
      <c r="L127" s="10" t="inlineStr"/>
    </row>
    <row r="128">
      <c r="A128" s="9" t="inlineStr">
        <is>
          <t>SQL</t>
        </is>
      </c>
      <c r="B128" s="9" t="inlineStr">
        <is>
          <t>Queries</t>
        </is>
      </c>
      <c r="C128" s="9" t="inlineStr">
        <is>
          <t>MAX</t>
        </is>
      </c>
      <c r="D128" s="10" t="inlineStr">
        <is>
          <t>Day 26</t>
        </is>
      </c>
      <c r="E128" s="10" t="inlineStr">
        <is>
          <t>30 min</t>
        </is>
      </c>
      <c r="F128" s="10" t="inlineStr">
        <is>
          <t>☐ Not Started</t>
        </is>
      </c>
      <c r="G128" s="10">
        <f>IF(F128="☑ Completed", "COMPLETED", "NOT STARTED")</f>
        <v/>
      </c>
      <c r="H128" s="10" t="inlineStr">
        <is>
          <t>Day 29</t>
        </is>
      </c>
      <c r="I128" s="10" t="inlineStr">
        <is>
          <t>☐ Not Started</t>
        </is>
      </c>
      <c r="J128" s="10" t="inlineStr">
        <is>
          <t>Day 33</t>
        </is>
      </c>
      <c r="K128" s="10" t="inlineStr">
        <is>
          <t>☐ Not Started</t>
        </is>
      </c>
      <c r="L128" s="10" t="inlineStr"/>
    </row>
    <row r="129">
      <c r="A129" s="9" t="inlineStr">
        <is>
          <t>SQL</t>
        </is>
      </c>
      <c r="B129" s="9" t="inlineStr">
        <is>
          <t>Joins &amp; Advanced</t>
        </is>
      </c>
      <c r="C129" s="9" t="inlineStr">
        <is>
          <t>INNER JOIN</t>
        </is>
      </c>
      <c r="D129" s="10" t="inlineStr">
        <is>
          <t>Day 26</t>
        </is>
      </c>
      <c r="E129" s="10" t="inlineStr">
        <is>
          <t>30 min</t>
        </is>
      </c>
      <c r="F129" s="10" t="inlineStr">
        <is>
          <t>☐ Not Started</t>
        </is>
      </c>
      <c r="G129" s="10">
        <f>IF(F129="☑ Completed", "COMPLETED", "NOT STARTED")</f>
        <v/>
      </c>
      <c r="H129" s="10" t="inlineStr">
        <is>
          <t>Day 29</t>
        </is>
      </c>
      <c r="I129" s="10" t="inlineStr">
        <is>
          <t>☐ Not Started</t>
        </is>
      </c>
      <c r="J129" s="10" t="inlineStr">
        <is>
          <t>Day 33</t>
        </is>
      </c>
      <c r="K129" s="10" t="inlineStr">
        <is>
          <t>☐ Not Started</t>
        </is>
      </c>
      <c r="L129" s="10" t="inlineStr"/>
    </row>
    <row r="130">
      <c r="A130" s="9" t="inlineStr">
        <is>
          <t>SQL</t>
        </is>
      </c>
      <c r="B130" s="9" t="inlineStr">
        <is>
          <t>Joins &amp; Advanced</t>
        </is>
      </c>
      <c r="C130" s="9" t="inlineStr">
        <is>
          <t>LEFT JOIN</t>
        </is>
      </c>
      <c r="D130" s="10" t="inlineStr">
        <is>
          <t>Day 26</t>
        </is>
      </c>
      <c r="E130" s="10" t="inlineStr">
        <is>
          <t>30 min</t>
        </is>
      </c>
      <c r="F130" s="10" t="inlineStr">
        <is>
          <t>☐ Not Started</t>
        </is>
      </c>
      <c r="G130" s="10">
        <f>IF(F130="☑ Completed", "COMPLETED", "NOT STARTED")</f>
        <v/>
      </c>
      <c r="H130" s="10" t="inlineStr">
        <is>
          <t>Day 29</t>
        </is>
      </c>
      <c r="I130" s="10" t="inlineStr">
        <is>
          <t>☐ Not Started</t>
        </is>
      </c>
      <c r="J130" s="10" t="inlineStr">
        <is>
          <t>Day 33</t>
        </is>
      </c>
      <c r="K130" s="10" t="inlineStr">
        <is>
          <t>☐ Not Started</t>
        </is>
      </c>
      <c r="L130" s="10" t="inlineStr"/>
    </row>
    <row r="131">
      <c r="A131" s="9" t="inlineStr">
        <is>
          <t>SQL</t>
        </is>
      </c>
      <c r="B131" s="9" t="inlineStr">
        <is>
          <t>Joins &amp; Advanced</t>
        </is>
      </c>
      <c r="C131" s="9" t="inlineStr">
        <is>
          <t>RIGHT JOIN</t>
        </is>
      </c>
      <c r="D131" s="10" t="inlineStr">
        <is>
          <t>Day 26</t>
        </is>
      </c>
      <c r="E131" s="10" t="inlineStr">
        <is>
          <t>30 min</t>
        </is>
      </c>
      <c r="F131" s="10" t="inlineStr">
        <is>
          <t>☐ Not Started</t>
        </is>
      </c>
      <c r="G131" s="10">
        <f>IF(F131="☑ Completed", "COMPLETED", "NOT STARTED")</f>
        <v/>
      </c>
      <c r="H131" s="10" t="inlineStr">
        <is>
          <t>Day 29</t>
        </is>
      </c>
      <c r="I131" s="10" t="inlineStr">
        <is>
          <t>☐ Not Started</t>
        </is>
      </c>
      <c r="J131" s="10" t="inlineStr">
        <is>
          <t>Day 33</t>
        </is>
      </c>
      <c r="K131" s="10" t="inlineStr">
        <is>
          <t>☐ Not Started</t>
        </is>
      </c>
      <c r="L131" s="10" t="inlineStr"/>
    </row>
    <row r="132">
      <c r="A132" s="9" t="inlineStr">
        <is>
          <t>SQL</t>
        </is>
      </c>
      <c r="B132" s="9" t="inlineStr">
        <is>
          <t>Joins &amp; Advanced</t>
        </is>
      </c>
      <c r="C132" s="9" t="inlineStr">
        <is>
          <t>FULL JOIN concept</t>
        </is>
      </c>
      <c r="D132" s="10" t="inlineStr">
        <is>
          <t>Day 27</t>
        </is>
      </c>
      <c r="E132" s="10" t="inlineStr">
        <is>
          <t>45 min</t>
        </is>
      </c>
      <c r="F132" s="10" t="inlineStr">
        <is>
          <t>☐ Not Started</t>
        </is>
      </c>
      <c r="G132" s="10">
        <f>IF(F132="☑ Completed", "COMPLETED", "NOT STARTED")</f>
        <v/>
      </c>
      <c r="H132" s="10" t="inlineStr">
        <is>
          <t>Day 30</t>
        </is>
      </c>
      <c r="I132" s="10" t="inlineStr">
        <is>
          <t>☐ Not Started</t>
        </is>
      </c>
      <c r="J132" s="10" t="inlineStr">
        <is>
          <t>Day 34</t>
        </is>
      </c>
      <c r="K132" s="10" t="inlineStr">
        <is>
          <t>☐ Not Started</t>
        </is>
      </c>
      <c r="L132" s="10" t="inlineStr"/>
    </row>
    <row r="133">
      <c r="A133" s="9" t="inlineStr">
        <is>
          <t>SQL</t>
        </is>
      </c>
      <c r="B133" s="9" t="inlineStr">
        <is>
          <t>Joins &amp; Advanced</t>
        </is>
      </c>
      <c r="C133" s="9" t="inlineStr">
        <is>
          <t>Subqueries</t>
        </is>
      </c>
      <c r="D133" s="10" t="inlineStr">
        <is>
          <t>Day 27</t>
        </is>
      </c>
      <c r="E133" s="10" t="inlineStr">
        <is>
          <t>30 min</t>
        </is>
      </c>
      <c r="F133" s="10" t="inlineStr">
        <is>
          <t>☐ Not Started</t>
        </is>
      </c>
      <c r="G133" s="10">
        <f>IF(F133="☑ Completed", "COMPLETED", "NOT STARTED")</f>
        <v/>
      </c>
      <c r="H133" s="10" t="inlineStr">
        <is>
          <t>Day 30</t>
        </is>
      </c>
      <c r="I133" s="10" t="inlineStr">
        <is>
          <t>☐ Not Started</t>
        </is>
      </c>
      <c r="J133" s="10" t="inlineStr">
        <is>
          <t>Day 34</t>
        </is>
      </c>
      <c r="K133" s="10" t="inlineStr">
        <is>
          <t>☐ Not Started</t>
        </is>
      </c>
      <c r="L133" s="10" t="inlineStr"/>
    </row>
    <row r="134">
      <c r="A134" s="9" t="inlineStr">
        <is>
          <t>SQL</t>
        </is>
      </c>
      <c r="B134" s="9" t="inlineStr">
        <is>
          <t>Joins &amp; Advanced</t>
        </is>
      </c>
      <c r="C134" s="9" t="inlineStr">
        <is>
          <t>CASE</t>
        </is>
      </c>
      <c r="D134" s="10" t="inlineStr">
        <is>
          <t>Day 27</t>
        </is>
      </c>
      <c r="E134" s="10" t="inlineStr">
        <is>
          <t>30 min</t>
        </is>
      </c>
      <c r="F134" s="10" t="inlineStr">
        <is>
          <t>☐ Not Started</t>
        </is>
      </c>
      <c r="G134" s="10">
        <f>IF(F134="☑ Completed", "COMPLETED", "NOT STARTED")</f>
        <v/>
      </c>
      <c r="H134" s="10" t="inlineStr">
        <is>
          <t>Day 30</t>
        </is>
      </c>
      <c r="I134" s="10" t="inlineStr">
        <is>
          <t>☐ Not Started</t>
        </is>
      </c>
      <c r="J134" s="10" t="inlineStr">
        <is>
          <t>Day 34</t>
        </is>
      </c>
      <c r="K134" s="10" t="inlineStr">
        <is>
          <t>☐ Not Started</t>
        </is>
      </c>
      <c r="L134" s="10" t="inlineStr"/>
    </row>
    <row r="135">
      <c r="A135" s="9" t="inlineStr">
        <is>
          <t>SQL</t>
        </is>
      </c>
      <c r="B135" s="9" t="inlineStr">
        <is>
          <t>Joins &amp; Advanced</t>
        </is>
      </c>
      <c r="C135" s="9" t="inlineStr">
        <is>
          <t>CTE</t>
        </is>
      </c>
      <c r="D135" s="10" t="inlineStr">
        <is>
          <t>Day 27</t>
        </is>
      </c>
      <c r="E135" s="10" t="inlineStr">
        <is>
          <t>30 min</t>
        </is>
      </c>
      <c r="F135" s="10" t="inlineStr">
        <is>
          <t>☐ Not Started</t>
        </is>
      </c>
      <c r="G135" s="10">
        <f>IF(F135="☑ Completed", "COMPLETED", "NOT STARTED")</f>
        <v/>
      </c>
      <c r="H135" s="10" t="inlineStr">
        <is>
          <t>Day 30</t>
        </is>
      </c>
      <c r="I135" s="10" t="inlineStr">
        <is>
          <t>☐ Not Started</t>
        </is>
      </c>
      <c r="J135" s="10" t="inlineStr">
        <is>
          <t>Day 34</t>
        </is>
      </c>
      <c r="K135" s="10" t="inlineStr">
        <is>
          <t>☐ Not Started</t>
        </is>
      </c>
      <c r="L135" s="10" t="inlineStr"/>
    </row>
    <row r="136">
      <c r="A136" s="9" t="inlineStr">
        <is>
          <t>SQL</t>
        </is>
      </c>
      <c r="B136" s="9" t="inlineStr">
        <is>
          <t>Joins &amp; Advanced</t>
        </is>
      </c>
      <c r="C136" s="9" t="inlineStr">
        <is>
          <t>Window functions</t>
        </is>
      </c>
      <c r="D136" s="10" t="inlineStr">
        <is>
          <t>Day 27</t>
        </is>
      </c>
      <c r="E136" s="10" t="inlineStr">
        <is>
          <t>30 min</t>
        </is>
      </c>
      <c r="F136" s="10" t="inlineStr">
        <is>
          <t>☐ Not Started</t>
        </is>
      </c>
      <c r="G136" s="10">
        <f>IF(F136="☑ Completed", "COMPLETED", "NOT STARTED")</f>
        <v/>
      </c>
      <c r="H136" s="10" t="inlineStr">
        <is>
          <t>Day 30</t>
        </is>
      </c>
      <c r="I136" s="10" t="inlineStr">
        <is>
          <t>☐ Not Started</t>
        </is>
      </c>
      <c r="J136" s="10" t="inlineStr">
        <is>
          <t>Day 34</t>
        </is>
      </c>
      <c r="K136" s="10" t="inlineStr">
        <is>
          <t>☐ Not Started</t>
        </is>
      </c>
      <c r="L136" s="10" t="inlineStr"/>
    </row>
    <row r="137">
      <c r="A137" s="9" t="inlineStr">
        <is>
          <t>SQL</t>
        </is>
      </c>
      <c r="B137" s="9" t="inlineStr">
        <is>
          <t>Joins &amp; Advanced</t>
        </is>
      </c>
      <c r="C137" s="9" t="inlineStr">
        <is>
          <t>ROW_NUMBER</t>
        </is>
      </c>
      <c r="D137" s="10" t="inlineStr">
        <is>
          <t>Day 28</t>
        </is>
      </c>
      <c r="E137" s="10" t="inlineStr">
        <is>
          <t>45 min</t>
        </is>
      </c>
      <c r="F137" s="10" t="inlineStr">
        <is>
          <t>☐ Not Started</t>
        </is>
      </c>
      <c r="G137" s="10">
        <f>IF(F137="☑ Completed", "COMPLETED", "NOT STARTED")</f>
        <v/>
      </c>
      <c r="H137" s="10" t="inlineStr">
        <is>
          <t>Day 31</t>
        </is>
      </c>
      <c r="I137" s="10" t="inlineStr">
        <is>
          <t>☐ Not Started</t>
        </is>
      </c>
      <c r="J137" s="10" t="inlineStr">
        <is>
          <t>Day 35</t>
        </is>
      </c>
      <c r="K137" s="10" t="inlineStr">
        <is>
          <t>☐ Not Started</t>
        </is>
      </c>
      <c r="L137" s="10" t="inlineStr"/>
    </row>
    <row r="138">
      <c r="A138" s="9" t="inlineStr">
        <is>
          <t>SQL</t>
        </is>
      </c>
      <c r="B138" s="9" t="inlineStr">
        <is>
          <t>Joins &amp; Advanced</t>
        </is>
      </c>
      <c r="C138" s="9" t="inlineStr">
        <is>
          <t>RANK</t>
        </is>
      </c>
      <c r="D138" s="10" t="inlineStr">
        <is>
          <t>Day 28</t>
        </is>
      </c>
      <c r="E138" s="10" t="inlineStr">
        <is>
          <t>30 min</t>
        </is>
      </c>
      <c r="F138" s="10" t="inlineStr">
        <is>
          <t>☐ Not Started</t>
        </is>
      </c>
      <c r="G138" s="10">
        <f>IF(F138="☑ Completed", "COMPLETED", "NOT STARTED")</f>
        <v/>
      </c>
      <c r="H138" s="10" t="inlineStr">
        <is>
          <t>Day 31</t>
        </is>
      </c>
      <c r="I138" s="10" t="inlineStr">
        <is>
          <t>☐ Not Started</t>
        </is>
      </c>
      <c r="J138" s="10" t="inlineStr">
        <is>
          <t>Day 35</t>
        </is>
      </c>
      <c r="K138" s="10" t="inlineStr">
        <is>
          <t>☐ Not Started</t>
        </is>
      </c>
      <c r="L138" s="10" t="inlineStr"/>
    </row>
    <row r="139">
      <c r="A139" s="9" t="inlineStr">
        <is>
          <t>SQL</t>
        </is>
      </c>
      <c r="B139" s="9" t="inlineStr">
        <is>
          <t>Joins &amp; Advanced</t>
        </is>
      </c>
      <c r="C139" s="9" t="inlineStr">
        <is>
          <t>DENSE_RANK</t>
        </is>
      </c>
      <c r="D139" s="10" t="inlineStr">
        <is>
          <t>Day 28</t>
        </is>
      </c>
      <c r="E139" s="10" t="inlineStr">
        <is>
          <t>30 min</t>
        </is>
      </c>
      <c r="F139" s="10" t="inlineStr">
        <is>
          <t>☐ Not Started</t>
        </is>
      </c>
      <c r="G139" s="10">
        <f>IF(F139="☑ Completed", "COMPLETED", "NOT STARTED")</f>
        <v/>
      </c>
      <c r="H139" s="10" t="inlineStr">
        <is>
          <t>Day 31</t>
        </is>
      </c>
      <c r="I139" s="10" t="inlineStr">
        <is>
          <t>☐ Not Started</t>
        </is>
      </c>
      <c r="J139" s="10" t="inlineStr">
        <is>
          <t>Day 35</t>
        </is>
      </c>
      <c r="K139" s="10" t="inlineStr">
        <is>
          <t>☐ Not Started</t>
        </is>
      </c>
      <c r="L139" s="10" t="inlineStr"/>
    </row>
    <row r="140">
      <c r="A140" s="9" t="inlineStr">
        <is>
          <t>Math</t>
        </is>
      </c>
      <c r="B140" s="9" t="inlineStr">
        <is>
          <t>Statistics</t>
        </is>
      </c>
      <c r="C140" s="9" t="inlineStr">
        <is>
          <t>Mean</t>
        </is>
      </c>
      <c r="D140" s="10" t="inlineStr">
        <is>
          <t>Day 28</t>
        </is>
      </c>
      <c r="E140" s="10" t="inlineStr">
        <is>
          <t>30 min</t>
        </is>
      </c>
      <c r="F140" s="10" t="inlineStr">
        <is>
          <t>☐ Not Started</t>
        </is>
      </c>
      <c r="G140" s="10">
        <f>IF(F140="☑ Completed", "COMPLETED", "NOT STARTED")</f>
        <v/>
      </c>
      <c r="H140" s="10" t="inlineStr">
        <is>
          <t>Day 31</t>
        </is>
      </c>
      <c r="I140" s="10" t="inlineStr">
        <is>
          <t>☐ Not Started</t>
        </is>
      </c>
      <c r="J140" s="10" t="inlineStr">
        <is>
          <t>Day 35</t>
        </is>
      </c>
      <c r="K140" s="10" t="inlineStr">
        <is>
          <t>☐ Not Started</t>
        </is>
      </c>
      <c r="L140" s="10" t="inlineStr"/>
    </row>
    <row r="141">
      <c r="A141" s="9" t="inlineStr">
        <is>
          <t>Math</t>
        </is>
      </c>
      <c r="B141" s="9" t="inlineStr">
        <is>
          <t>Statistics</t>
        </is>
      </c>
      <c r="C141" s="9" t="inlineStr">
        <is>
          <t>Median</t>
        </is>
      </c>
      <c r="D141" s="10" t="inlineStr">
        <is>
          <t>Day 28</t>
        </is>
      </c>
      <c r="E141" s="10" t="inlineStr">
        <is>
          <t>30 min</t>
        </is>
      </c>
      <c r="F141" s="10" t="inlineStr">
        <is>
          <t>☐ Not Started</t>
        </is>
      </c>
      <c r="G141" s="10">
        <f>IF(F141="☑ Completed", "COMPLETED", "NOT STARTED")</f>
        <v/>
      </c>
      <c r="H141" s="10" t="inlineStr">
        <is>
          <t>Day 31</t>
        </is>
      </c>
      <c r="I141" s="10" t="inlineStr">
        <is>
          <t>☐ Not Started</t>
        </is>
      </c>
      <c r="J141" s="10" t="inlineStr">
        <is>
          <t>Day 35</t>
        </is>
      </c>
      <c r="K141" s="10" t="inlineStr">
        <is>
          <t>☐ Not Started</t>
        </is>
      </c>
      <c r="L141" s="10" t="inlineStr"/>
    </row>
    <row r="142">
      <c r="A142" s="9" t="inlineStr">
        <is>
          <t>Math</t>
        </is>
      </c>
      <c r="B142" s="9" t="inlineStr">
        <is>
          <t>Statistics</t>
        </is>
      </c>
      <c r="C142" s="9" t="inlineStr">
        <is>
          <t>Mode</t>
        </is>
      </c>
      <c r="D142" s="10" t="inlineStr">
        <is>
          <t>Day 29</t>
        </is>
      </c>
      <c r="E142" s="10" t="inlineStr">
        <is>
          <t>45 min</t>
        </is>
      </c>
      <c r="F142" s="10" t="inlineStr">
        <is>
          <t>☐ Not Started</t>
        </is>
      </c>
      <c r="G142" s="10">
        <f>IF(F142="☑ Completed", "COMPLETED", "NOT STARTED")</f>
        <v/>
      </c>
      <c r="H142" s="10" t="inlineStr">
        <is>
          <t>Day 32</t>
        </is>
      </c>
      <c r="I142" s="10" t="inlineStr">
        <is>
          <t>☐ Not Started</t>
        </is>
      </c>
      <c r="J142" s="10" t="inlineStr">
        <is>
          <t>Day 36</t>
        </is>
      </c>
      <c r="K142" s="10" t="inlineStr">
        <is>
          <t>☐ Not Started</t>
        </is>
      </c>
      <c r="L142" s="10" t="inlineStr"/>
    </row>
    <row r="143">
      <c r="A143" s="9" t="inlineStr">
        <is>
          <t>Math</t>
        </is>
      </c>
      <c r="B143" s="9" t="inlineStr">
        <is>
          <t>Statistics</t>
        </is>
      </c>
      <c r="C143" s="9" t="inlineStr">
        <is>
          <t>Variance</t>
        </is>
      </c>
      <c r="D143" s="10" t="inlineStr">
        <is>
          <t>Day 29</t>
        </is>
      </c>
      <c r="E143" s="10" t="inlineStr">
        <is>
          <t>30 min</t>
        </is>
      </c>
      <c r="F143" s="10" t="inlineStr">
        <is>
          <t>☐ Not Started</t>
        </is>
      </c>
      <c r="G143" s="10">
        <f>IF(F143="☑ Completed", "COMPLETED", "NOT STARTED")</f>
        <v/>
      </c>
      <c r="H143" s="10" t="inlineStr">
        <is>
          <t>Day 32</t>
        </is>
      </c>
      <c r="I143" s="10" t="inlineStr">
        <is>
          <t>☐ Not Started</t>
        </is>
      </c>
      <c r="J143" s="10" t="inlineStr">
        <is>
          <t>Day 36</t>
        </is>
      </c>
      <c r="K143" s="10" t="inlineStr">
        <is>
          <t>☐ Not Started</t>
        </is>
      </c>
      <c r="L143" s="10" t="inlineStr"/>
    </row>
    <row r="144">
      <c r="A144" s="9" t="inlineStr">
        <is>
          <t>Math</t>
        </is>
      </c>
      <c r="B144" s="9" t="inlineStr">
        <is>
          <t>Statistics</t>
        </is>
      </c>
      <c r="C144" s="9" t="inlineStr">
        <is>
          <t>Standard deviation</t>
        </is>
      </c>
      <c r="D144" s="10" t="inlineStr">
        <is>
          <t>Day 29</t>
        </is>
      </c>
      <c r="E144" s="10" t="inlineStr">
        <is>
          <t>30 min</t>
        </is>
      </c>
      <c r="F144" s="10" t="inlineStr">
        <is>
          <t>☐ Not Started</t>
        </is>
      </c>
      <c r="G144" s="10">
        <f>IF(F144="☑ Completed", "COMPLETED", "NOT STARTED")</f>
        <v/>
      </c>
      <c r="H144" s="10" t="inlineStr">
        <is>
          <t>Day 32</t>
        </is>
      </c>
      <c r="I144" s="10" t="inlineStr">
        <is>
          <t>☐ Not Started</t>
        </is>
      </c>
      <c r="J144" s="10" t="inlineStr">
        <is>
          <t>Day 36</t>
        </is>
      </c>
      <c r="K144" s="10" t="inlineStr">
        <is>
          <t>☐ Not Started</t>
        </is>
      </c>
      <c r="L144" s="10" t="inlineStr"/>
    </row>
    <row r="145">
      <c r="A145" s="9" t="inlineStr">
        <is>
          <t>Math</t>
        </is>
      </c>
      <c r="B145" s="9" t="inlineStr">
        <is>
          <t>Statistics</t>
        </is>
      </c>
      <c r="C145" s="9" t="inlineStr">
        <is>
          <t>Probability</t>
        </is>
      </c>
      <c r="D145" s="10" t="inlineStr">
        <is>
          <t>Day 29</t>
        </is>
      </c>
      <c r="E145" s="10" t="inlineStr">
        <is>
          <t>30 min</t>
        </is>
      </c>
      <c r="F145" s="10" t="inlineStr">
        <is>
          <t>☐ Not Started</t>
        </is>
      </c>
      <c r="G145" s="10">
        <f>IF(F145="☑ Completed", "COMPLETED", "NOT STARTED")</f>
        <v/>
      </c>
      <c r="H145" s="10" t="inlineStr">
        <is>
          <t>Day 32</t>
        </is>
      </c>
      <c r="I145" s="10" t="inlineStr">
        <is>
          <t>☐ Not Started</t>
        </is>
      </c>
      <c r="J145" s="10" t="inlineStr">
        <is>
          <t>Day 36</t>
        </is>
      </c>
      <c r="K145" s="10" t="inlineStr">
        <is>
          <t>☐ Not Started</t>
        </is>
      </c>
      <c r="L145" s="10" t="inlineStr"/>
    </row>
    <row r="146">
      <c r="A146" s="9" t="inlineStr">
        <is>
          <t>Math</t>
        </is>
      </c>
      <c r="B146" s="9" t="inlineStr">
        <is>
          <t>Statistics</t>
        </is>
      </c>
      <c r="C146" s="9" t="inlineStr">
        <is>
          <t>Conditional probability</t>
        </is>
      </c>
      <c r="D146" s="10" t="inlineStr">
        <is>
          <t>Day 29</t>
        </is>
      </c>
      <c r="E146" s="10" t="inlineStr">
        <is>
          <t>30 min</t>
        </is>
      </c>
      <c r="F146" s="10" t="inlineStr">
        <is>
          <t>☐ Not Started</t>
        </is>
      </c>
      <c r="G146" s="10">
        <f>IF(F146="☑ Completed", "COMPLETED", "NOT STARTED")</f>
        <v/>
      </c>
      <c r="H146" s="10" t="inlineStr">
        <is>
          <t>Day 32</t>
        </is>
      </c>
      <c r="I146" s="10" t="inlineStr">
        <is>
          <t>☐ Not Started</t>
        </is>
      </c>
      <c r="J146" s="10" t="inlineStr">
        <is>
          <t>Day 36</t>
        </is>
      </c>
      <c r="K146" s="10" t="inlineStr">
        <is>
          <t>☐ Not Started</t>
        </is>
      </c>
      <c r="L146" s="10" t="inlineStr"/>
    </row>
    <row r="147">
      <c r="A147" s="9" t="inlineStr">
        <is>
          <t>Math</t>
        </is>
      </c>
      <c r="B147" s="9" t="inlineStr">
        <is>
          <t>Statistics</t>
        </is>
      </c>
      <c r="C147" s="9" t="inlineStr">
        <is>
          <t>Bayes theorem</t>
        </is>
      </c>
      <c r="D147" s="10" t="inlineStr">
        <is>
          <t>Day 30</t>
        </is>
      </c>
      <c r="E147" s="10" t="inlineStr">
        <is>
          <t>45 min</t>
        </is>
      </c>
      <c r="F147" s="10" t="inlineStr">
        <is>
          <t>☐ Not Started</t>
        </is>
      </c>
      <c r="G147" s="10">
        <f>IF(F147="☑ Completed", "COMPLETED", "NOT STARTED")</f>
        <v/>
      </c>
      <c r="H147" s="10" t="inlineStr">
        <is>
          <t>Day 33</t>
        </is>
      </c>
      <c r="I147" s="10" t="inlineStr">
        <is>
          <t>☐ Not Started</t>
        </is>
      </c>
      <c r="J147" s="10" t="inlineStr">
        <is>
          <t>Day 37</t>
        </is>
      </c>
      <c r="K147" s="10" t="inlineStr">
        <is>
          <t>☐ Not Started</t>
        </is>
      </c>
      <c r="L147" s="10" t="inlineStr"/>
    </row>
    <row r="148">
      <c r="A148" s="9" t="inlineStr">
        <is>
          <t>Math</t>
        </is>
      </c>
      <c r="B148" s="9" t="inlineStr">
        <is>
          <t>Statistics</t>
        </is>
      </c>
      <c r="C148" s="9" t="inlineStr">
        <is>
          <t>Correlation</t>
        </is>
      </c>
      <c r="D148" s="10" t="inlineStr">
        <is>
          <t>Day 30</t>
        </is>
      </c>
      <c r="E148" s="10" t="inlineStr">
        <is>
          <t>30 min</t>
        </is>
      </c>
      <c r="F148" s="10" t="inlineStr">
        <is>
          <t>☐ Not Started</t>
        </is>
      </c>
      <c r="G148" s="10">
        <f>IF(F148="☑ Completed", "COMPLETED", "NOT STARTED")</f>
        <v/>
      </c>
      <c r="H148" s="10" t="inlineStr">
        <is>
          <t>Day 33</t>
        </is>
      </c>
      <c r="I148" s="10" t="inlineStr">
        <is>
          <t>☐ Not Started</t>
        </is>
      </c>
      <c r="J148" s="10" t="inlineStr">
        <is>
          <t>Day 37</t>
        </is>
      </c>
      <c r="K148" s="10" t="inlineStr">
        <is>
          <t>☐ Not Started</t>
        </is>
      </c>
      <c r="L148" s="10" t="inlineStr"/>
    </row>
    <row r="149">
      <c r="A149" s="9" t="inlineStr">
        <is>
          <t>Math</t>
        </is>
      </c>
      <c r="B149" s="9" t="inlineStr">
        <is>
          <t>Statistics</t>
        </is>
      </c>
      <c r="C149" s="9" t="inlineStr">
        <is>
          <t>Covariance</t>
        </is>
      </c>
      <c r="D149" s="10" t="inlineStr">
        <is>
          <t>Day 30</t>
        </is>
      </c>
      <c r="E149" s="10" t="inlineStr">
        <is>
          <t>30 min</t>
        </is>
      </c>
      <c r="F149" s="10" t="inlineStr">
        <is>
          <t>☐ Not Started</t>
        </is>
      </c>
      <c r="G149" s="10">
        <f>IF(F149="☑ Completed", "COMPLETED", "NOT STARTED")</f>
        <v/>
      </c>
      <c r="H149" s="10" t="inlineStr">
        <is>
          <t>Day 33</t>
        </is>
      </c>
      <c r="I149" s="10" t="inlineStr">
        <is>
          <t>☐ Not Started</t>
        </is>
      </c>
      <c r="J149" s="10" t="inlineStr">
        <is>
          <t>Day 37</t>
        </is>
      </c>
      <c r="K149" s="10" t="inlineStr">
        <is>
          <t>☐ Not Started</t>
        </is>
      </c>
      <c r="L149" s="10" t="inlineStr"/>
    </row>
    <row r="150">
      <c r="A150" s="9" t="inlineStr">
        <is>
          <t>Math</t>
        </is>
      </c>
      <c r="B150" s="9" t="inlineStr">
        <is>
          <t>Algebra &amp; Calculus</t>
        </is>
      </c>
      <c r="C150" s="9" t="inlineStr">
        <is>
          <t>Vectors</t>
        </is>
      </c>
      <c r="D150" s="10" t="inlineStr">
        <is>
          <t>Day 30</t>
        </is>
      </c>
      <c r="E150" s="10" t="inlineStr">
        <is>
          <t>30 min</t>
        </is>
      </c>
      <c r="F150" s="10" t="inlineStr">
        <is>
          <t>☐ Not Started</t>
        </is>
      </c>
      <c r="G150" s="10">
        <f>IF(F150="☑ Completed", "COMPLETED", "NOT STARTED")</f>
        <v/>
      </c>
      <c r="H150" s="10" t="inlineStr">
        <is>
          <t>Day 33</t>
        </is>
      </c>
      <c r="I150" s="10" t="inlineStr">
        <is>
          <t>☐ Not Started</t>
        </is>
      </c>
      <c r="J150" s="10" t="inlineStr">
        <is>
          <t>Day 37</t>
        </is>
      </c>
      <c r="K150" s="10" t="inlineStr">
        <is>
          <t>☐ Not Started</t>
        </is>
      </c>
      <c r="L150" s="10" t="inlineStr"/>
    </row>
    <row r="151">
      <c r="A151" s="9" t="inlineStr">
        <is>
          <t>Math</t>
        </is>
      </c>
      <c r="B151" s="9" t="inlineStr">
        <is>
          <t>Algebra &amp; Calculus</t>
        </is>
      </c>
      <c r="C151" s="9" t="inlineStr">
        <is>
          <t>Matrices</t>
        </is>
      </c>
      <c r="D151" s="10" t="inlineStr">
        <is>
          <t>Day 30</t>
        </is>
      </c>
      <c r="E151" s="10" t="inlineStr">
        <is>
          <t>30 min</t>
        </is>
      </c>
      <c r="F151" s="10" t="inlineStr">
        <is>
          <t>☐ Not Started</t>
        </is>
      </c>
      <c r="G151" s="10">
        <f>IF(F151="☑ Completed", "COMPLETED", "NOT STARTED")</f>
        <v/>
      </c>
      <c r="H151" s="10" t="inlineStr">
        <is>
          <t>Day 33</t>
        </is>
      </c>
      <c r="I151" s="10" t="inlineStr">
        <is>
          <t>☐ Not Started</t>
        </is>
      </c>
      <c r="J151" s="10" t="inlineStr">
        <is>
          <t>Day 37</t>
        </is>
      </c>
      <c r="K151" s="10" t="inlineStr">
        <is>
          <t>☐ Not Started</t>
        </is>
      </c>
      <c r="L151" s="10" t="inlineStr"/>
    </row>
    <row r="152">
      <c r="A152" s="9" t="inlineStr">
        <is>
          <t>Math</t>
        </is>
      </c>
      <c r="B152" s="9" t="inlineStr">
        <is>
          <t>Algebra &amp; Calculus</t>
        </is>
      </c>
      <c r="C152" s="9" t="inlineStr">
        <is>
          <t>Dot product</t>
        </is>
      </c>
      <c r="D152" s="10" t="inlineStr">
        <is>
          <t>Day 31</t>
        </is>
      </c>
      <c r="E152" s="10" t="inlineStr">
        <is>
          <t>45 min</t>
        </is>
      </c>
      <c r="F152" s="10" t="inlineStr">
        <is>
          <t>☐ Not Started</t>
        </is>
      </c>
      <c r="G152" s="10">
        <f>IF(F152="☑ Completed", "COMPLETED", "NOT STARTED")</f>
        <v/>
      </c>
      <c r="H152" s="10" t="inlineStr">
        <is>
          <t>Day 34</t>
        </is>
      </c>
      <c r="I152" s="10" t="inlineStr">
        <is>
          <t>☐ Not Started</t>
        </is>
      </c>
      <c r="J152" s="10" t="inlineStr">
        <is>
          <t>Day 38</t>
        </is>
      </c>
      <c r="K152" s="10" t="inlineStr">
        <is>
          <t>☐ Not Started</t>
        </is>
      </c>
      <c r="L152" s="10" t="inlineStr"/>
    </row>
    <row r="153">
      <c r="A153" s="9" t="inlineStr">
        <is>
          <t>Math</t>
        </is>
      </c>
      <c r="B153" s="9" t="inlineStr">
        <is>
          <t>Algebra &amp; Calculus</t>
        </is>
      </c>
      <c r="C153" s="9" t="inlineStr">
        <is>
          <t>Transpose</t>
        </is>
      </c>
      <c r="D153" s="10" t="inlineStr">
        <is>
          <t>Day 31</t>
        </is>
      </c>
      <c r="E153" s="10" t="inlineStr">
        <is>
          <t>30 min</t>
        </is>
      </c>
      <c r="F153" s="10" t="inlineStr">
        <is>
          <t>☐ Not Started</t>
        </is>
      </c>
      <c r="G153" s="10">
        <f>IF(F153="☑ Completed", "COMPLETED", "NOT STARTED")</f>
        <v/>
      </c>
      <c r="H153" s="10" t="inlineStr">
        <is>
          <t>Day 34</t>
        </is>
      </c>
      <c r="I153" s="10" t="inlineStr">
        <is>
          <t>☐ Not Started</t>
        </is>
      </c>
      <c r="J153" s="10" t="inlineStr">
        <is>
          <t>Day 38</t>
        </is>
      </c>
      <c r="K153" s="10" t="inlineStr">
        <is>
          <t>☐ Not Started</t>
        </is>
      </c>
      <c r="L153" s="10" t="inlineStr"/>
    </row>
    <row r="154">
      <c r="A154" s="9" t="inlineStr">
        <is>
          <t>Math</t>
        </is>
      </c>
      <c r="B154" s="9" t="inlineStr">
        <is>
          <t>Algebra &amp; Calculus</t>
        </is>
      </c>
      <c r="C154" s="9" t="inlineStr">
        <is>
          <t>Derivative</t>
        </is>
      </c>
      <c r="D154" s="10" t="inlineStr">
        <is>
          <t>Day 31</t>
        </is>
      </c>
      <c r="E154" s="10" t="inlineStr">
        <is>
          <t>30 min</t>
        </is>
      </c>
      <c r="F154" s="10" t="inlineStr">
        <is>
          <t>☐ Not Started</t>
        </is>
      </c>
      <c r="G154" s="10">
        <f>IF(F154="☑ Completed", "COMPLETED", "NOT STARTED")</f>
        <v/>
      </c>
      <c r="H154" s="10" t="inlineStr">
        <is>
          <t>Day 34</t>
        </is>
      </c>
      <c r="I154" s="10" t="inlineStr">
        <is>
          <t>☐ Not Started</t>
        </is>
      </c>
      <c r="J154" s="10" t="inlineStr">
        <is>
          <t>Day 38</t>
        </is>
      </c>
      <c r="K154" s="10" t="inlineStr">
        <is>
          <t>☐ Not Started</t>
        </is>
      </c>
      <c r="L154" s="10" t="inlineStr"/>
    </row>
    <row r="155">
      <c r="A155" s="9" t="inlineStr">
        <is>
          <t>Math</t>
        </is>
      </c>
      <c r="B155" s="9" t="inlineStr">
        <is>
          <t>Algebra &amp; Calculus</t>
        </is>
      </c>
      <c r="C155" s="9" t="inlineStr">
        <is>
          <t>Gradient</t>
        </is>
      </c>
      <c r="D155" s="10" t="inlineStr">
        <is>
          <t>Day 31</t>
        </is>
      </c>
      <c r="E155" s="10" t="inlineStr">
        <is>
          <t>30 min</t>
        </is>
      </c>
      <c r="F155" s="10" t="inlineStr">
        <is>
          <t>☐ Not Started</t>
        </is>
      </c>
      <c r="G155" s="10">
        <f>IF(F155="☑ Completed", "COMPLETED", "NOT STARTED")</f>
        <v/>
      </c>
      <c r="H155" s="10" t="inlineStr">
        <is>
          <t>Day 34</t>
        </is>
      </c>
      <c r="I155" s="10" t="inlineStr">
        <is>
          <t>☐ Not Started</t>
        </is>
      </c>
      <c r="J155" s="10" t="inlineStr">
        <is>
          <t>Day 38</t>
        </is>
      </c>
      <c r="K155" s="10" t="inlineStr">
        <is>
          <t>☐ Not Started</t>
        </is>
      </c>
      <c r="L155" s="10" t="inlineStr"/>
    </row>
    <row r="156">
      <c r="A156" s="9" t="inlineStr">
        <is>
          <t>Math</t>
        </is>
      </c>
      <c r="B156" s="9" t="inlineStr">
        <is>
          <t>Algebra &amp; Calculus</t>
        </is>
      </c>
      <c r="C156" s="9" t="inlineStr">
        <is>
          <t>Gradient descent</t>
        </is>
      </c>
      <c r="D156" s="10" t="inlineStr">
        <is>
          <t>Day 31</t>
        </is>
      </c>
      <c r="E156" s="10" t="inlineStr">
        <is>
          <t>30 min</t>
        </is>
      </c>
      <c r="F156" s="10" t="inlineStr">
        <is>
          <t>☐ Not Started</t>
        </is>
      </c>
      <c r="G156" s="10">
        <f>IF(F156="☑ Completed", "COMPLETED", "NOT STARTED")</f>
        <v/>
      </c>
      <c r="H156" s="10" t="inlineStr">
        <is>
          <t>Day 34</t>
        </is>
      </c>
      <c r="I156" s="10" t="inlineStr">
        <is>
          <t>☐ Not Started</t>
        </is>
      </c>
      <c r="J156" s="10" t="inlineStr">
        <is>
          <t>Day 38</t>
        </is>
      </c>
      <c r="K156" s="10" t="inlineStr">
        <is>
          <t>☐ Not Started</t>
        </is>
      </c>
      <c r="L156" s="10" t="inlineStr"/>
    </row>
    <row r="157">
      <c r="A157" s="9" t="inlineStr">
        <is>
          <t>Machine Learning</t>
        </is>
      </c>
      <c r="B157" s="9" t="inlineStr">
        <is>
          <t>Concepts</t>
        </is>
      </c>
      <c r="C157" s="9" t="inlineStr">
        <is>
          <t>What is ML</t>
        </is>
      </c>
      <c r="D157" s="10" t="inlineStr">
        <is>
          <t>Day 32</t>
        </is>
      </c>
      <c r="E157" s="10" t="inlineStr">
        <is>
          <t>45 min</t>
        </is>
      </c>
      <c r="F157" s="10" t="inlineStr">
        <is>
          <t>☐ Not Started</t>
        </is>
      </c>
      <c r="G157" s="10">
        <f>IF(F157="☑ Completed", "COMPLETED", "NOT STARTED")</f>
        <v/>
      </c>
      <c r="H157" s="10" t="inlineStr">
        <is>
          <t>Day 35</t>
        </is>
      </c>
      <c r="I157" s="10" t="inlineStr">
        <is>
          <t>☐ Not Started</t>
        </is>
      </c>
      <c r="J157" s="10" t="inlineStr">
        <is>
          <t>Day 39</t>
        </is>
      </c>
      <c r="K157" s="10" t="inlineStr">
        <is>
          <t>☐ Not Started</t>
        </is>
      </c>
      <c r="L157" s="10" t="inlineStr"/>
    </row>
    <row r="158">
      <c r="A158" s="9" t="inlineStr">
        <is>
          <t>Machine Learning</t>
        </is>
      </c>
      <c r="B158" s="9" t="inlineStr">
        <is>
          <t>Concepts</t>
        </is>
      </c>
      <c r="C158" s="9" t="inlineStr">
        <is>
          <t>Supervised learning</t>
        </is>
      </c>
      <c r="D158" s="10" t="inlineStr">
        <is>
          <t>Day 32</t>
        </is>
      </c>
      <c r="E158" s="10" t="inlineStr">
        <is>
          <t>30 min</t>
        </is>
      </c>
      <c r="F158" s="10" t="inlineStr">
        <is>
          <t>☐ Not Started</t>
        </is>
      </c>
      <c r="G158" s="10">
        <f>IF(F158="☑ Completed", "COMPLETED", "NOT STARTED")</f>
        <v/>
      </c>
      <c r="H158" s="10" t="inlineStr">
        <is>
          <t>Day 35</t>
        </is>
      </c>
      <c r="I158" s="10" t="inlineStr">
        <is>
          <t>☐ Not Started</t>
        </is>
      </c>
      <c r="J158" s="10" t="inlineStr">
        <is>
          <t>Day 39</t>
        </is>
      </c>
      <c r="K158" s="10" t="inlineStr">
        <is>
          <t>☐ Not Started</t>
        </is>
      </c>
      <c r="L158" s="10" t="inlineStr"/>
    </row>
    <row r="159">
      <c r="A159" s="9" t="inlineStr">
        <is>
          <t>Machine Learning</t>
        </is>
      </c>
      <c r="B159" s="9" t="inlineStr">
        <is>
          <t>Concepts</t>
        </is>
      </c>
      <c r="C159" s="9" t="inlineStr">
        <is>
          <t>Unsupervised learning</t>
        </is>
      </c>
      <c r="D159" s="10" t="inlineStr">
        <is>
          <t>Day 32</t>
        </is>
      </c>
      <c r="E159" s="10" t="inlineStr">
        <is>
          <t>30 min</t>
        </is>
      </c>
      <c r="F159" s="10" t="inlineStr">
        <is>
          <t>☐ Not Started</t>
        </is>
      </c>
      <c r="G159" s="10">
        <f>IF(F159="☑ Completed", "COMPLETED", "NOT STARTED")</f>
        <v/>
      </c>
      <c r="H159" s="10" t="inlineStr">
        <is>
          <t>Day 35</t>
        </is>
      </c>
      <c r="I159" s="10" t="inlineStr">
        <is>
          <t>☐ Not Started</t>
        </is>
      </c>
      <c r="J159" s="10" t="inlineStr">
        <is>
          <t>Day 39</t>
        </is>
      </c>
      <c r="K159" s="10" t="inlineStr">
        <is>
          <t>☐ Not Started</t>
        </is>
      </c>
      <c r="L159" s="10" t="inlineStr"/>
    </row>
    <row r="160">
      <c r="A160" s="9" t="inlineStr">
        <is>
          <t>Machine Learning</t>
        </is>
      </c>
      <c r="B160" s="9" t="inlineStr">
        <is>
          <t>Concepts</t>
        </is>
      </c>
      <c r="C160" s="9" t="inlineStr">
        <is>
          <t>Regression</t>
        </is>
      </c>
      <c r="D160" s="10" t="inlineStr">
        <is>
          <t>Day 32</t>
        </is>
      </c>
      <c r="E160" s="10" t="inlineStr">
        <is>
          <t>30 min</t>
        </is>
      </c>
      <c r="F160" s="10" t="inlineStr">
        <is>
          <t>☐ Not Started</t>
        </is>
      </c>
      <c r="G160" s="10">
        <f>IF(F160="☑ Completed", "COMPLETED", "NOT STARTED")</f>
        <v/>
      </c>
      <c r="H160" s="10" t="inlineStr">
        <is>
          <t>Day 35</t>
        </is>
      </c>
      <c r="I160" s="10" t="inlineStr">
        <is>
          <t>☐ Not Started</t>
        </is>
      </c>
      <c r="J160" s="10" t="inlineStr">
        <is>
          <t>Day 39</t>
        </is>
      </c>
      <c r="K160" s="10" t="inlineStr">
        <is>
          <t>☐ Not Started</t>
        </is>
      </c>
      <c r="L160" s="10" t="inlineStr"/>
    </row>
    <row r="161">
      <c r="A161" s="9" t="inlineStr">
        <is>
          <t>Machine Learning</t>
        </is>
      </c>
      <c r="B161" s="9" t="inlineStr">
        <is>
          <t>Concepts</t>
        </is>
      </c>
      <c r="C161" s="9" t="inlineStr">
        <is>
          <t>Classification</t>
        </is>
      </c>
      <c r="D161" s="10" t="inlineStr">
        <is>
          <t>Day 32</t>
        </is>
      </c>
      <c r="E161" s="10" t="inlineStr">
        <is>
          <t>30 min</t>
        </is>
      </c>
      <c r="F161" s="10" t="inlineStr">
        <is>
          <t>☐ Not Started</t>
        </is>
      </c>
      <c r="G161" s="10">
        <f>IF(F161="☑ Completed", "COMPLETED", "NOT STARTED")</f>
        <v/>
      </c>
      <c r="H161" s="10" t="inlineStr">
        <is>
          <t>Day 35</t>
        </is>
      </c>
      <c r="I161" s="10" t="inlineStr">
        <is>
          <t>☐ Not Started</t>
        </is>
      </c>
      <c r="J161" s="10" t="inlineStr">
        <is>
          <t>Day 39</t>
        </is>
      </c>
      <c r="K161" s="10" t="inlineStr">
        <is>
          <t>☐ Not Started</t>
        </is>
      </c>
      <c r="L161" s="10" t="inlineStr"/>
    </row>
    <row r="162">
      <c r="A162" s="9" t="inlineStr">
        <is>
          <t>Machine Learning</t>
        </is>
      </c>
      <c r="B162" s="9" t="inlineStr">
        <is>
          <t>Concepts</t>
        </is>
      </c>
      <c r="C162" s="9" t="inlineStr">
        <is>
          <t>Train/test split</t>
        </is>
      </c>
      <c r="D162" s="10" t="inlineStr">
        <is>
          <t>Day 33</t>
        </is>
      </c>
      <c r="E162" s="10" t="inlineStr">
        <is>
          <t>45 min</t>
        </is>
      </c>
      <c r="F162" s="10" t="inlineStr">
        <is>
          <t>☐ Not Started</t>
        </is>
      </c>
      <c r="G162" s="10">
        <f>IF(F162="☑ Completed", "COMPLETED", "NOT STARTED")</f>
        <v/>
      </c>
      <c r="H162" s="10" t="inlineStr">
        <is>
          <t>Day 36</t>
        </is>
      </c>
      <c r="I162" s="10" t="inlineStr">
        <is>
          <t>☐ Not Started</t>
        </is>
      </c>
      <c r="J162" s="10" t="inlineStr">
        <is>
          <t>Day 40</t>
        </is>
      </c>
      <c r="K162" s="10" t="inlineStr">
        <is>
          <t>☐ Not Started</t>
        </is>
      </c>
      <c r="L162" s="10" t="inlineStr"/>
    </row>
    <row r="163">
      <c r="A163" s="9" t="inlineStr">
        <is>
          <t>Machine Learning</t>
        </is>
      </c>
      <c r="B163" s="9" t="inlineStr">
        <is>
          <t>Concepts</t>
        </is>
      </c>
      <c r="C163" s="9" t="inlineStr">
        <is>
          <t>Validation set</t>
        </is>
      </c>
      <c r="D163" s="10" t="inlineStr">
        <is>
          <t>Day 33</t>
        </is>
      </c>
      <c r="E163" s="10" t="inlineStr">
        <is>
          <t>30 min</t>
        </is>
      </c>
      <c r="F163" s="10" t="inlineStr">
        <is>
          <t>☐ Not Started</t>
        </is>
      </c>
      <c r="G163" s="10">
        <f>IF(F163="☑ Completed", "COMPLETED", "NOT STARTED")</f>
        <v/>
      </c>
      <c r="H163" s="10" t="inlineStr">
        <is>
          <t>Day 36</t>
        </is>
      </c>
      <c r="I163" s="10" t="inlineStr">
        <is>
          <t>☐ Not Started</t>
        </is>
      </c>
      <c r="J163" s="10" t="inlineStr">
        <is>
          <t>Day 40</t>
        </is>
      </c>
      <c r="K163" s="10" t="inlineStr">
        <is>
          <t>☐ Not Started</t>
        </is>
      </c>
      <c r="L163" s="10" t="inlineStr"/>
    </row>
    <row r="164">
      <c r="A164" s="9" t="inlineStr">
        <is>
          <t>Machine Learning</t>
        </is>
      </c>
      <c r="B164" s="9" t="inlineStr">
        <is>
          <t>Concepts</t>
        </is>
      </c>
      <c r="C164" s="9" t="inlineStr">
        <is>
          <t>Cross-validation</t>
        </is>
      </c>
      <c r="D164" s="10" t="inlineStr">
        <is>
          <t>Day 33</t>
        </is>
      </c>
      <c r="E164" s="10" t="inlineStr">
        <is>
          <t>30 min</t>
        </is>
      </c>
      <c r="F164" s="10" t="inlineStr">
        <is>
          <t>☐ Not Started</t>
        </is>
      </c>
      <c r="G164" s="10">
        <f>IF(F164="☑ Completed", "COMPLETED", "NOT STARTED")</f>
        <v/>
      </c>
      <c r="H164" s="10" t="inlineStr">
        <is>
          <t>Day 36</t>
        </is>
      </c>
      <c r="I164" s="10" t="inlineStr">
        <is>
          <t>☐ Not Started</t>
        </is>
      </c>
      <c r="J164" s="10" t="inlineStr">
        <is>
          <t>Day 40</t>
        </is>
      </c>
      <c r="K164" s="10" t="inlineStr">
        <is>
          <t>☐ Not Started</t>
        </is>
      </c>
      <c r="L164" s="10" t="inlineStr"/>
    </row>
    <row r="165">
      <c r="A165" s="9" t="inlineStr">
        <is>
          <t>Machine Learning</t>
        </is>
      </c>
      <c r="B165" s="9" t="inlineStr">
        <is>
          <t>Concepts</t>
        </is>
      </c>
      <c r="C165" s="9" t="inlineStr">
        <is>
          <t>Overfitting</t>
        </is>
      </c>
      <c r="D165" s="10" t="inlineStr">
        <is>
          <t>Day 33</t>
        </is>
      </c>
      <c r="E165" s="10" t="inlineStr">
        <is>
          <t>30 min</t>
        </is>
      </c>
      <c r="F165" s="10" t="inlineStr">
        <is>
          <t>☐ Not Started</t>
        </is>
      </c>
      <c r="G165" s="10">
        <f>IF(F165="☑ Completed", "COMPLETED", "NOT STARTED")</f>
        <v/>
      </c>
      <c r="H165" s="10" t="inlineStr">
        <is>
          <t>Day 36</t>
        </is>
      </c>
      <c r="I165" s="10" t="inlineStr">
        <is>
          <t>☐ Not Started</t>
        </is>
      </c>
      <c r="J165" s="10" t="inlineStr">
        <is>
          <t>Day 40</t>
        </is>
      </c>
      <c r="K165" s="10" t="inlineStr">
        <is>
          <t>☐ Not Started</t>
        </is>
      </c>
      <c r="L165" s="10" t="inlineStr"/>
    </row>
    <row r="166">
      <c r="A166" s="9" t="inlineStr">
        <is>
          <t>Machine Learning</t>
        </is>
      </c>
      <c r="B166" s="9" t="inlineStr">
        <is>
          <t>Concepts</t>
        </is>
      </c>
      <c r="C166" s="9" t="inlineStr">
        <is>
          <t>Underfitting</t>
        </is>
      </c>
      <c r="D166" s="10" t="inlineStr">
        <is>
          <t>Day 33</t>
        </is>
      </c>
      <c r="E166" s="10" t="inlineStr">
        <is>
          <t>30 min</t>
        </is>
      </c>
      <c r="F166" s="10" t="inlineStr">
        <is>
          <t>☐ Not Started</t>
        </is>
      </c>
      <c r="G166" s="10">
        <f>IF(F166="☑ Completed", "COMPLETED", "NOT STARTED")</f>
        <v/>
      </c>
      <c r="H166" s="10" t="inlineStr">
        <is>
          <t>Day 36</t>
        </is>
      </c>
      <c r="I166" s="10" t="inlineStr">
        <is>
          <t>☐ Not Started</t>
        </is>
      </c>
      <c r="J166" s="10" t="inlineStr">
        <is>
          <t>Day 40</t>
        </is>
      </c>
      <c r="K166" s="10" t="inlineStr">
        <is>
          <t>☐ Not Started</t>
        </is>
      </c>
      <c r="L166" s="10" t="inlineStr"/>
    </row>
    <row r="167">
      <c r="A167" s="9" t="inlineStr">
        <is>
          <t>Machine Learning</t>
        </is>
      </c>
      <c r="B167" s="9" t="inlineStr">
        <is>
          <t>Concepts</t>
        </is>
      </c>
      <c r="C167" s="9" t="inlineStr">
        <is>
          <t>Bias</t>
        </is>
      </c>
      <c r="D167" s="10" t="inlineStr">
        <is>
          <t>Day 34</t>
        </is>
      </c>
      <c r="E167" s="10" t="inlineStr">
        <is>
          <t>45 min</t>
        </is>
      </c>
      <c r="F167" s="10" t="inlineStr">
        <is>
          <t>☐ Not Started</t>
        </is>
      </c>
      <c r="G167" s="10">
        <f>IF(F167="☑ Completed", "COMPLETED", "NOT STARTED")</f>
        <v/>
      </c>
      <c r="H167" s="10" t="inlineStr">
        <is>
          <t>Day 37</t>
        </is>
      </c>
      <c r="I167" s="10" t="inlineStr">
        <is>
          <t>☐ Not Started</t>
        </is>
      </c>
      <c r="J167" s="10" t="inlineStr">
        <is>
          <t>Day 41</t>
        </is>
      </c>
      <c r="K167" s="10" t="inlineStr">
        <is>
          <t>☐ Not Started</t>
        </is>
      </c>
      <c r="L167" s="10" t="inlineStr"/>
    </row>
    <row r="168">
      <c r="A168" s="9" t="inlineStr">
        <is>
          <t>Machine Learning</t>
        </is>
      </c>
      <c r="B168" s="9" t="inlineStr">
        <is>
          <t>Concepts</t>
        </is>
      </c>
      <c r="C168" s="9" t="inlineStr">
        <is>
          <t>Variance</t>
        </is>
      </c>
      <c r="D168" s="10" t="inlineStr">
        <is>
          <t>Day 34</t>
        </is>
      </c>
      <c r="E168" s="10" t="inlineStr">
        <is>
          <t>30 min</t>
        </is>
      </c>
      <c r="F168" s="10" t="inlineStr">
        <is>
          <t>☐ Not Started</t>
        </is>
      </c>
      <c r="G168" s="10">
        <f>IF(F168="☑ Completed", "COMPLETED", "NOT STARTED")</f>
        <v/>
      </c>
      <c r="H168" s="10" t="inlineStr">
        <is>
          <t>Day 37</t>
        </is>
      </c>
      <c r="I168" s="10" t="inlineStr">
        <is>
          <t>☐ Not Started</t>
        </is>
      </c>
      <c r="J168" s="10" t="inlineStr">
        <is>
          <t>Day 41</t>
        </is>
      </c>
      <c r="K168" s="10" t="inlineStr">
        <is>
          <t>☐ Not Started</t>
        </is>
      </c>
      <c r="L168" s="10" t="inlineStr"/>
    </row>
    <row r="169">
      <c r="A169" s="9" t="inlineStr">
        <is>
          <t>Machine Learning</t>
        </is>
      </c>
      <c r="B169" s="9" t="inlineStr">
        <is>
          <t>Concepts</t>
        </is>
      </c>
      <c r="C169" s="9" t="inlineStr">
        <is>
          <t>Bias-variance tradeoff</t>
        </is>
      </c>
      <c r="D169" s="10" t="inlineStr">
        <is>
          <t>Day 34</t>
        </is>
      </c>
      <c r="E169" s="10" t="inlineStr">
        <is>
          <t>30 min</t>
        </is>
      </c>
      <c r="F169" s="10" t="inlineStr">
        <is>
          <t>☐ Not Started</t>
        </is>
      </c>
      <c r="G169" s="10">
        <f>IF(F169="☑ Completed", "COMPLETED", "NOT STARTED")</f>
        <v/>
      </c>
      <c r="H169" s="10" t="inlineStr">
        <is>
          <t>Day 37</t>
        </is>
      </c>
      <c r="I169" s="10" t="inlineStr">
        <is>
          <t>☐ Not Started</t>
        </is>
      </c>
      <c r="J169" s="10" t="inlineStr">
        <is>
          <t>Day 41</t>
        </is>
      </c>
      <c r="K169" s="10" t="inlineStr">
        <is>
          <t>☐ Not Started</t>
        </is>
      </c>
      <c r="L169" s="10" t="inlineStr"/>
    </row>
    <row r="170">
      <c r="A170" s="9" t="inlineStr">
        <is>
          <t>Machine Learning</t>
        </is>
      </c>
      <c r="B170" s="9" t="inlineStr">
        <is>
          <t>Algorithms</t>
        </is>
      </c>
      <c r="C170" s="9" t="inlineStr">
        <is>
          <t>Linear Regression</t>
        </is>
      </c>
      <c r="D170" s="10" t="inlineStr">
        <is>
          <t>Day 34</t>
        </is>
      </c>
      <c r="E170" s="10" t="inlineStr">
        <is>
          <t>30 min</t>
        </is>
      </c>
      <c r="F170" s="10" t="inlineStr">
        <is>
          <t>☐ Not Started</t>
        </is>
      </c>
      <c r="G170" s="10">
        <f>IF(F170="☑ Completed", "COMPLETED", "NOT STARTED")</f>
        <v/>
      </c>
      <c r="H170" s="10" t="inlineStr">
        <is>
          <t>Day 37</t>
        </is>
      </c>
      <c r="I170" s="10" t="inlineStr">
        <is>
          <t>☐ Not Started</t>
        </is>
      </c>
      <c r="J170" s="10" t="inlineStr">
        <is>
          <t>Day 41</t>
        </is>
      </c>
      <c r="K170" s="10" t="inlineStr">
        <is>
          <t>☐ Not Started</t>
        </is>
      </c>
      <c r="L170" s="10" t="inlineStr"/>
    </row>
    <row r="171">
      <c r="A171" s="9" t="inlineStr">
        <is>
          <t>Machine Learning</t>
        </is>
      </c>
      <c r="B171" s="9" t="inlineStr">
        <is>
          <t>Algorithms</t>
        </is>
      </c>
      <c r="C171" s="9" t="inlineStr">
        <is>
          <t>Logistic Regression</t>
        </is>
      </c>
      <c r="D171" s="10" t="inlineStr">
        <is>
          <t>Day 34</t>
        </is>
      </c>
      <c r="E171" s="10" t="inlineStr">
        <is>
          <t>30 min</t>
        </is>
      </c>
      <c r="F171" s="10" t="inlineStr">
        <is>
          <t>☐ Not Started</t>
        </is>
      </c>
      <c r="G171" s="10">
        <f>IF(F171="☑ Completed", "COMPLETED", "NOT STARTED")</f>
        <v/>
      </c>
      <c r="H171" s="10" t="inlineStr">
        <is>
          <t>Day 37</t>
        </is>
      </c>
      <c r="I171" s="10" t="inlineStr">
        <is>
          <t>☐ Not Started</t>
        </is>
      </c>
      <c r="J171" s="10" t="inlineStr">
        <is>
          <t>Day 41</t>
        </is>
      </c>
      <c r="K171" s="10" t="inlineStr">
        <is>
          <t>☐ Not Started</t>
        </is>
      </c>
      <c r="L171" s="10" t="inlineStr"/>
    </row>
    <row r="172">
      <c r="A172" s="9" t="inlineStr">
        <is>
          <t>Machine Learning</t>
        </is>
      </c>
      <c r="B172" s="9" t="inlineStr">
        <is>
          <t>Algorithms</t>
        </is>
      </c>
      <c r="C172" s="9" t="inlineStr">
        <is>
          <t>KNN</t>
        </is>
      </c>
      <c r="D172" s="10" t="inlineStr">
        <is>
          <t>Day 35</t>
        </is>
      </c>
      <c r="E172" s="10" t="inlineStr">
        <is>
          <t>45 min</t>
        </is>
      </c>
      <c r="F172" s="10" t="inlineStr">
        <is>
          <t>☐ Not Started</t>
        </is>
      </c>
      <c r="G172" s="10">
        <f>IF(F172="☑ Completed", "COMPLETED", "NOT STARTED")</f>
        <v/>
      </c>
      <c r="H172" s="10" t="inlineStr">
        <is>
          <t>Day 38</t>
        </is>
      </c>
      <c r="I172" s="10" t="inlineStr">
        <is>
          <t>☐ Not Started</t>
        </is>
      </c>
      <c r="J172" s="10" t="inlineStr">
        <is>
          <t>Day 42</t>
        </is>
      </c>
      <c r="K172" s="10" t="inlineStr">
        <is>
          <t>☐ Not Started</t>
        </is>
      </c>
      <c r="L172" s="10" t="inlineStr"/>
    </row>
    <row r="173">
      <c r="A173" s="9" t="inlineStr">
        <is>
          <t>Machine Learning</t>
        </is>
      </c>
      <c r="B173" s="9" t="inlineStr">
        <is>
          <t>Algorithms</t>
        </is>
      </c>
      <c r="C173" s="9" t="inlineStr">
        <is>
          <t>Naive Bayes</t>
        </is>
      </c>
      <c r="D173" s="10" t="inlineStr">
        <is>
          <t>Day 35</t>
        </is>
      </c>
      <c r="E173" s="10" t="inlineStr">
        <is>
          <t>30 min</t>
        </is>
      </c>
      <c r="F173" s="10" t="inlineStr">
        <is>
          <t>☐ Not Started</t>
        </is>
      </c>
      <c r="G173" s="10">
        <f>IF(F173="☑ Completed", "COMPLETED", "NOT STARTED")</f>
        <v/>
      </c>
      <c r="H173" s="10" t="inlineStr">
        <is>
          <t>Day 38</t>
        </is>
      </c>
      <c r="I173" s="10" t="inlineStr">
        <is>
          <t>☐ Not Started</t>
        </is>
      </c>
      <c r="J173" s="10" t="inlineStr">
        <is>
          <t>Day 42</t>
        </is>
      </c>
      <c r="K173" s="10" t="inlineStr">
        <is>
          <t>☐ Not Started</t>
        </is>
      </c>
      <c r="L173" s="10" t="inlineStr"/>
    </row>
    <row r="174">
      <c r="A174" s="9" t="inlineStr">
        <is>
          <t>Machine Learning</t>
        </is>
      </c>
      <c r="B174" s="9" t="inlineStr">
        <is>
          <t>Algorithms</t>
        </is>
      </c>
      <c r="C174" s="9" t="inlineStr">
        <is>
          <t>Decision Tree</t>
        </is>
      </c>
      <c r="D174" s="10" t="inlineStr">
        <is>
          <t>Day 35</t>
        </is>
      </c>
      <c r="E174" s="10" t="inlineStr">
        <is>
          <t>30 min</t>
        </is>
      </c>
      <c r="F174" s="10" t="inlineStr">
        <is>
          <t>☐ Not Started</t>
        </is>
      </c>
      <c r="G174" s="10">
        <f>IF(F174="☑ Completed", "COMPLETED", "NOT STARTED")</f>
        <v/>
      </c>
      <c r="H174" s="10" t="inlineStr">
        <is>
          <t>Day 38</t>
        </is>
      </c>
      <c r="I174" s="10" t="inlineStr">
        <is>
          <t>☐ Not Started</t>
        </is>
      </c>
      <c r="J174" s="10" t="inlineStr">
        <is>
          <t>Day 42</t>
        </is>
      </c>
      <c r="K174" s="10" t="inlineStr">
        <is>
          <t>☐ Not Started</t>
        </is>
      </c>
      <c r="L174" s="10" t="inlineStr"/>
    </row>
    <row r="175">
      <c r="A175" s="9" t="inlineStr">
        <is>
          <t>Machine Learning</t>
        </is>
      </c>
      <c r="B175" s="9" t="inlineStr">
        <is>
          <t>Algorithms</t>
        </is>
      </c>
      <c r="C175" s="9" t="inlineStr">
        <is>
          <t>Random Forest</t>
        </is>
      </c>
      <c r="D175" s="10" t="inlineStr">
        <is>
          <t>Day 35</t>
        </is>
      </c>
      <c r="E175" s="10" t="inlineStr">
        <is>
          <t>30 min</t>
        </is>
      </c>
      <c r="F175" s="10" t="inlineStr">
        <is>
          <t>☐ Not Started</t>
        </is>
      </c>
      <c r="G175" s="10">
        <f>IF(F175="☑ Completed", "COMPLETED", "NOT STARTED")</f>
        <v/>
      </c>
      <c r="H175" s="10" t="inlineStr">
        <is>
          <t>Day 38</t>
        </is>
      </c>
      <c r="I175" s="10" t="inlineStr">
        <is>
          <t>☐ Not Started</t>
        </is>
      </c>
      <c r="J175" s="10" t="inlineStr">
        <is>
          <t>Day 42</t>
        </is>
      </c>
      <c r="K175" s="10" t="inlineStr">
        <is>
          <t>☐ Not Started</t>
        </is>
      </c>
      <c r="L175" s="10" t="inlineStr"/>
    </row>
    <row r="176">
      <c r="A176" s="9" t="inlineStr">
        <is>
          <t>Machine Learning</t>
        </is>
      </c>
      <c r="B176" s="9" t="inlineStr">
        <is>
          <t>Algorithms</t>
        </is>
      </c>
      <c r="C176" s="9" t="inlineStr">
        <is>
          <t>SVM</t>
        </is>
      </c>
      <c r="D176" s="10" t="inlineStr">
        <is>
          <t>Day 35</t>
        </is>
      </c>
      <c r="E176" s="10" t="inlineStr">
        <is>
          <t>30 min</t>
        </is>
      </c>
      <c r="F176" s="10" t="inlineStr">
        <is>
          <t>☐ Not Started</t>
        </is>
      </c>
      <c r="G176" s="10">
        <f>IF(F176="☑ Completed", "COMPLETED", "NOT STARTED")</f>
        <v/>
      </c>
      <c r="H176" s="10" t="inlineStr">
        <is>
          <t>Day 38</t>
        </is>
      </c>
      <c r="I176" s="10" t="inlineStr">
        <is>
          <t>☐ Not Started</t>
        </is>
      </c>
      <c r="J176" s="10" t="inlineStr">
        <is>
          <t>Day 42</t>
        </is>
      </c>
      <c r="K176" s="10" t="inlineStr">
        <is>
          <t>☐ Not Started</t>
        </is>
      </c>
      <c r="L176" s="10" t="inlineStr"/>
    </row>
    <row r="177">
      <c r="A177" s="9" t="inlineStr">
        <is>
          <t>Machine Learning</t>
        </is>
      </c>
      <c r="B177" s="9" t="inlineStr">
        <is>
          <t>Algorithms</t>
        </is>
      </c>
      <c r="C177" s="9" t="inlineStr">
        <is>
          <t>K-Means</t>
        </is>
      </c>
      <c r="D177" s="10" t="inlineStr">
        <is>
          <t>Day 36</t>
        </is>
      </c>
      <c r="E177" s="10" t="inlineStr">
        <is>
          <t>45 min</t>
        </is>
      </c>
      <c r="F177" s="10" t="inlineStr">
        <is>
          <t>☐ Not Started</t>
        </is>
      </c>
      <c r="G177" s="10">
        <f>IF(F177="☑ Completed", "COMPLETED", "NOT STARTED")</f>
        <v/>
      </c>
      <c r="H177" s="10" t="inlineStr">
        <is>
          <t>Day 39</t>
        </is>
      </c>
      <c r="I177" s="10" t="inlineStr">
        <is>
          <t>☐ Not Started</t>
        </is>
      </c>
      <c r="J177" s="10" t="inlineStr">
        <is>
          <t>Day 43</t>
        </is>
      </c>
      <c r="K177" s="10" t="inlineStr">
        <is>
          <t>☐ Not Started</t>
        </is>
      </c>
      <c r="L177" s="10" t="inlineStr"/>
    </row>
    <row r="178">
      <c r="A178" s="9" t="inlineStr">
        <is>
          <t>Machine Learning</t>
        </is>
      </c>
      <c r="B178" s="9" t="inlineStr">
        <is>
          <t>Algorithms</t>
        </is>
      </c>
      <c r="C178" s="9" t="inlineStr">
        <is>
          <t>PCA</t>
        </is>
      </c>
      <c r="D178" s="10" t="inlineStr">
        <is>
          <t>Day 36</t>
        </is>
      </c>
      <c r="E178" s="10" t="inlineStr">
        <is>
          <t>30 min</t>
        </is>
      </c>
      <c r="F178" s="10" t="inlineStr">
        <is>
          <t>☐ Not Started</t>
        </is>
      </c>
      <c r="G178" s="10">
        <f>IF(F178="☑ Completed", "COMPLETED", "NOT STARTED")</f>
        <v/>
      </c>
      <c r="H178" s="10" t="inlineStr">
        <is>
          <t>Day 39</t>
        </is>
      </c>
      <c r="I178" s="10" t="inlineStr">
        <is>
          <t>☐ Not Started</t>
        </is>
      </c>
      <c r="J178" s="10" t="inlineStr">
        <is>
          <t>Day 43</t>
        </is>
      </c>
      <c r="K178" s="10" t="inlineStr">
        <is>
          <t>☐ Not Started</t>
        </is>
      </c>
      <c r="L178" s="10" t="inlineStr"/>
    </row>
    <row r="179">
      <c r="A179" s="9" t="inlineStr">
        <is>
          <t>Machine Learning</t>
        </is>
      </c>
      <c r="B179" s="9" t="inlineStr">
        <is>
          <t>Preprocessing</t>
        </is>
      </c>
      <c r="C179" s="9" t="inlineStr">
        <is>
          <t>Feature engineering</t>
        </is>
      </c>
      <c r="D179" s="10" t="inlineStr">
        <is>
          <t>Day 36</t>
        </is>
      </c>
      <c r="E179" s="10" t="inlineStr">
        <is>
          <t>30 min</t>
        </is>
      </c>
      <c r="F179" s="10" t="inlineStr">
        <is>
          <t>☐ Not Started</t>
        </is>
      </c>
      <c r="G179" s="10">
        <f>IF(F179="☑ Completed", "COMPLETED", "NOT STARTED")</f>
        <v/>
      </c>
      <c r="H179" s="10" t="inlineStr">
        <is>
          <t>Day 39</t>
        </is>
      </c>
      <c r="I179" s="10" t="inlineStr">
        <is>
          <t>☐ Not Started</t>
        </is>
      </c>
      <c r="J179" s="10" t="inlineStr">
        <is>
          <t>Day 43</t>
        </is>
      </c>
      <c r="K179" s="10" t="inlineStr">
        <is>
          <t>☐ Not Started</t>
        </is>
      </c>
      <c r="L179" s="10" t="inlineStr"/>
    </row>
    <row r="180">
      <c r="A180" s="9" t="inlineStr">
        <is>
          <t>Machine Learning</t>
        </is>
      </c>
      <c r="B180" s="9" t="inlineStr">
        <is>
          <t>Preprocessing</t>
        </is>
      </c>
      <c r="C180" s="9" t="inlineStr">
        <is>
          <t>Feature selection</t>
        </is>
      </c>
      <c r="D180" s="10" t="inlineStr">
        <is>
          <t>Day 36</t>
        </is>
      </c>
      <c r="E180" s="10" t="inlineStr">
        <is>
          <t>30 min</t>
        </is>
      </c>
      <c r="F180" s="10" t="inlineStr">
        <is>
          <t>☐ Not Started</t>
        </is>
      </c>
      <c r="G180" s="10">
        <f>IF(F180="☑ Completed", "COMPLETED", "NOT STARTED")</f>
        <v/>
      </c>
      <c r="H180" s="10" t="inlineStr">
        <is>
          <t>Day 39</t>
        </is>
      </c>
      <c r="I180" s="10" t="inlineStr">
        <is>
          <t>☐ Not Started</t>
        </is>
      </c>
      <c r="J180" s="10" t="inlineStr">
        <is>
          <t>Day 43</t>
        </is>
      </c>
      <c r="K180" s="10" t="inlineStr">
        <is>
          <t>☐ Not Started</t>
        </is>
      </c>
      <c r="L180" s="10" t="inlineStr"/>
    </row>
    <row r="181">
      <c r="A181" s="9" t="inlineStr">
        <is>
          <t>Machine Learning</t>
        </is>
      </c>
      <c r="B181" s="9" t="inlineStr">
        <is>
          <t>Preprocessing</t>
        </is>
      </c>
      <c r="C181" s="9" t="inlineStr">
        <is>
          <t>Categorical encoding</t>
        </is>
      </c>
      <c r="D181" s="10" t="inlineStr">
        <is>
          <t>Day 36</t>
        </is>
      </c>
      <c r="E181" s="10" t="inlineStr">
        <is>
          <t>30 min</t>
        </is>
      </c>
      <c r="F181" s="10" t="inlineStr">
        <is>
          <t>☐ Not Started</t>
        </is>
      </c>
      <c r="G181" s="10">
        <f>IF(F181="☑ Completed", "COMPLETED", "NOT STARTED")</f>
        <v/>
      </c>
      <c r="H181" s="10" t="inlineStr">
        <is>
          <t>Day 39</t>
        </is>
      </c>
      <c r="I181" s="10" t="inlineStr">
        <is>
          <t>☐ Not Started</t>
        </is>
      </c>
      <c r="J181" s="10" t="inlineStr">
        <is>
          <t>Day 43</t>
        </is>
      </c>
      <c r="K181" s="10" t="inlineStr">
        <is>
          <t>☐ Not Started</t>
        </is>
      </c>
      <c r="L181" s="10" t="inlineStr"/>
    </row>
    <row r="182">
      <c r="A182" s="9" t="inlineStr">
        <is>
          <t>Machine Learning</t>
        </is>
      </c>
      <c r="B182" s="9" t="inlineStr">
        <is>
          <t>Preprocessing</t>
        </is>
      </c>
      <c r="C182" s="9" t="inlineStr">
        <is>
          <t>One-hot encoding</t>
        </is>
      </c>
      <c r="D182" s="10" t="inlineStr">
        <is>
          <t>Day 37</t>
        </is>
      </c>
      <c r="E182" s="10" t="inlineStr">
        <is>
          <t>45 min</t>
        </is>
      </c>
      <c r="F182" s="10" t="inlineStr">
        <is>
          <t>☐ Not Started</t>
        </is>
      </c>
      <c r="G182" s="10">
        <f>IF(F182="☑ Completed", "COMPLETED", "NOT STARTED")</f>
        <v/>
      </c>
      <c r="H182" s="10" t="inlineStr">
        <is>
          <t>Day 40</t>
        </is>
      </c>
      <c r="I182" s="10" t="inlineStr">
        <is>
          <t>☐ Not Started</t>
        </is>
      </c>
      <c r="J182" s="10" t="inlineStr">
        <is>
          <t>Day 44</t>
        </is>
      </c>
      <c r="K182" s="10" t="inlineStr">
        <is>
          <t>☐ Not Started</t>
        </is>
      </c>
      <c r="L182" s="10" t="inlineStr"/>
    </row>
    <row r="183">
      <c r="A183" s="9" t="inlineStr">
        <is>
          <t>Machine Learning</t>
        </is>
      </c>
      <c r="B183" s="9" t="inlineStr">
        <is>
          <t>Preprocessing</t>
        </is>
      </c>
      <c r="C183" s="9" t="inlineStr">
        <is>
          <t>Label encoding</t>
        </is>
      </c>
      <c r="D183" s="10" t="inlineStr">
        <is>
          <t>Day 37</t>
        </is>
      </c>
      <c r="E183" s="10" t="inlineStr">
        <is>
          <t>30 min</t>
        </is>
      </c>
      <c r="F183" s="10" t="inlineStr">
        <is>
          <t>☐ Not Started</t>
        </is>
      </c>
      <c r="G183" s="10">
        <f>IF(F183="☑ Completed", "COMPLETED", "NOT STARTED")</f>
        <v/>
      </c>
      <c r="H183" s="10" t="inlineStr">
        <is>
          <t>Day 40</t>
        </is>
      </c>
      <c r="I183" s="10" t="inlineStr">
        <is>
          <t>☐ Not Started</t>
        </is>
      </c>
      <c r="J183" s="10" t="inlineStr">
        <is>
          <t>Day 44</t>
        </is>
      </c>
      <c r="K183" s="10" t="inlineStr">
        <is>
          <t>☐ Not Started</t>
        </is>
      </c>
      <c r="L183" s="10" t="inlineStr"/>
    </row>
    <row r="184">
      <c r="A184" s="9" t="inlineStr">
        <is>
          <t>Machine Learning</t>
        </is>
      </c>
      <c r="B184" s="9" t="inlineStr">
        <is>
          <t>Preprocessing</t>
        </is>
      </c>
      <c r="C184" s="9" t="inlineStr">
        <is>
          <t>Scaling</t>
        </is>
      </c>
      <c r="D184" s="10" t="inlineStr">
        <is>
          <t>Day 37</t>
        </is>
      </c>
      <c r="E184" s="10" t="inlineStr">
        <is>
          <t>30 min</t>
        </is>
      </c>
      <c r="F184" s="10" t="inlineStr">
        <is>
          <t>☐ Not Started</t>
        </is>
      </c>
      <c r="G184" s="10">
        <f>IF(F184="☑ Completed", "COMPLETED", "NOT STARTED")</f>
        <v/>
      </c>
      <c r="H184" s="10" t="inlineStr">
        <is>
          <t>Day 40</t>
        </is>
      </c>
      <c r="I184" s="10" t="inlineStr">
        <is>
          <t>☐ Not Started</t>
        </is>
      </c>
      <c r="J184" s="10" t="inlineStr">
        <is>
          <t>Day 44</t>
        </is>
      </c>
      <c r="K184" s="10" t="inlineStr">
        <is>
          <t>☐ Not Started</t>
        </is>
      </c>
      <c r="L184" s="10" t="inlineStr"/>
    </row>
    <row r="185">
      <c r="A185" s="9" t="inlineStr">
        <is>
          <t>Machine Learning</t>
        </is>
      </c>
      <c r="B185" s="9" t="inlineStr">
        <is>
          <t>Preprocessing</t>
        </is>
      </c>
      <c r="C185" s="9" t="inlineStr">
        <is>
          <t>Normalization</t>
        </is>
      </c>
      <c r="D185" s="10" t="inlineStr">
        <is>
          <t>Day 37</t>
        </is>
      </c>
      <c r="E185" s="10" t="inlineStr">
        <is>
          <t>30 min</t>
        </is>
      </c>
      <c r="F185" s="10" t="inlineStr">
        <is>
          <t>☐ Not Started</t>
        </is>
      </c>
      <c r="G185" s="10">
        <f>IF(F185="☑ Completed", "COMPLETED", "NOT STARTED")</f>
        <v/>
      </c>
      <c r="H185" s="10" t="inlineStr">
        <is>
          <t>Day 40</t>
        </is>
      </c>
      <c r="I185" s="10" t="inlineStr">
        <is>
          <t>☐ Not Started</t>
        </is>
      </c>
      <c r="J185" s="10" t="inlineStr">
        <is>
          <t>Day 44</t>
        </is>
      </c>
      <c r="K185" s="10" t="inlineStr">
        <is>
          <t>☐ Not Started</t>
        </is>
      </c>
      <c r="L185" s="10" t="inlineStr"/>
    </row>
    <row r="186">
      <c r="A186" s="9" t="inlineStr">
        <is>
          <t>Machine Learning</t>
        </is>
      </c>
      <c r="B186" s="9" t="inlineStr">
        <is>
          <t>Preprocessing</t>
        </is>
      </c>
      <c r="C186" s="9" t="inlineStr">
        <is>
          <t>Standardization</t>
        </is>
      </c>
      <c r="D186" s="10" t="inlineStr">
        <is>
          <t>Day 37</t>
        </is>
      </c>
      <c r="E186" s="10" t="inlineStr">
        <is>
          <t>30 min</t>
        </is>
      </c>
      <c r="F186" s="10" t="inlineStr">
        <is>
          <t>☐ Not Started</t>
        </is>
      </c>
      <c r="G186" s="10">
        <f>IF(F186="☑ Completed", "COMPLETED", "NOT STARTED")</f>
        <v/>
      </c>
      <c r="H186" s="10" t="inlineStr">
        <is>
          <t>Day 40</t>
        </is>
      </c>
      <c r="I186" s="10" t="inlineStr">
        <is>
          <t>☐ Not Started</t>
        </is>
      </c>
      <c r="J186" s="10" t="inlineStr">
        <is>
          <t>Day 44</t>
        </is>
      </c>
      <c r="K186" s="10" t="inlineStr">
        <is>
          <t>☐ Not Started</t>
        </is>
      </c>
      <c r="L186" s="10" t="inlineStr"/>
    </row>
    <row r="187">
      <c r="A187" s="9" t="inlineStr">
        <is>
          <t>Machine Learning</t>
        </is>
      </c>
      <c r="B187" s="9" t="inlineStr">
        <is>
          <t>Preprocessing</t>
        </is>
      </c>
      <c r="C187" s="9" t="inlineStr">
        <is>
          <t>Missing value treatment</t>
        </is>
      </c>
      <c r="D187" s="10" t="inlineStr">
        <is>
          <t>Day 38</t>
        </is>
      </c>
      <c r="E187" s="10" t="inlineStr">
        <is>
          <t>45 min</t>
        </is>
      </c>
      <c r="F187" s="10" t="inlineStr">
        <is>
          <t>☐ Not Started</t>
        </is>
      </c>
      <c r="G187" s="10">
        <f>IF(F187="☑ Completed", "COMPLETED", "NOT STARTED")</f>
        <v/>
      </c>
      <c r="H187" s="10" t="inlineStr">
        <is>
          <t>Day 41</t>
        </is>
      </c>
      <c r="I187" s="10" t="inlineStr">
        <is>
          <t>☐ Not Started</t>
        </is>
      </c>
      <c r="J187" s="10" t="inlineStr">
        <is>
          <t>Day 45</t>
        </is>
      </c>
      <c r="K187" s="10" t="inlineStr">
        <is>
          <t>☐ Not Started</t>
        </is>
      </c>
      <c r="L187" s="10" t="inlineStr"/>
    </row>
    <row r="188">
      <c r="A188" s="9" t="inlineStr">
        <is>
          <t>Machine Learning</t>
        </is>
      </c>
      <c r="B188" s="9" t="inlineStr">
        <is>
          <t>Preprocessing</t>
        </is>
      </c>
      <c r="C188" s="9" t="inlineStr">
        <is>
          <t>Outlier treatment</t>
        </is>
      </c>
      <c r="D188" s="10" t="inlineStr">
        <is>
          <t>Day 38</t>
        </is>
      </c>
      <c r="E188" s="10" t="inlineStr">
        <is>
          <t>30 min</t>
        </is>
      </c>
      <c r="F188" s="10" t="inlineStr">
        <is>
          <t>☐ Not Started</t>
        </is>
      </c>
      <c r="G188" s="10">
        <f>IF(F188="☑ Completed", "COMPLETED", "NOT STARTED")</f>
        <v/>
      </c>
      <c r="H188" s="10" t="inlineStr">
        <is>
          <t>Day 41</t>
        </is>
      </c>
      <c r="I188" s="10" t="inlineStr">
        <is>
          <t>☐ Not Started</t>
        </is>
      </c>
      <c r="J188" s="10" t="inlineStr">
        <is>
          <t>Day 45</t>
        </is>
      </c>
      <c r="K188" s="10" t="inlineStr">
        <is>
          <t>☐ Not Started</t>
        </is>
      </c>
      <c r="L188" s="10" t="inlineStr"/>
    </row>
    <row r="189">
      <c r="A189" s="9" t="inlineStr">
        <is>
          <t>Machine Learning</t>
        </is>
      </c>
      <c r="B189" s="9" t="inlineStr">
        <is>
          <t>Preprocessing</t>
        </is>
      </c>
      <c r="C189" s="9" t="inlineStr">
        <is>
          <t>Hyperparameter tuning</t>
        </is>
      </c>
      <c r="D189" s="10" t="inlineStr">
        <is>
          <t>Day 38</t>
        </is>
      </c>
      <c r="E189" s="10" t="inlineStr">
        <is>
          <t>30 min</t>
        </is>
      </c>
      <c r="F189" s="10" t="inlineStr">
        <is>
          <t>☐ Not Started</t>
        </is>
      </c>
      <c r="G189" s="10">
        <f>IF(F189="☑ Completed", "COMPLETED", "NOT STARTED")</f>
        <v/>
      </c>
      <c r="H189" s="10" t="inlineStr">
        <is>
          <t>Day 41</t>
        </is>
      </c>
      <c r="I189" s="10" t="inlineStr">
        <is>
          <t>☐ Not Started</t>
        </is>
      </c>
      <c r="J189" s="10" t="inlineStr">
        <is>
          <t>Day 45</t>
        </is>
      </c>
      <c r="K189" s="10" t="inlineStr">
        <is>
          <t>☐ Not Started</t>
        </is>
      </c>
      <c r="L189" s="10" t="inlineStr"/>
    </row>
    <row r="190">
      <c r="A190" s="9" t="inlineStr">
        <is>
          <t>Machine Learning</t>
        </is>
      </c>
      <c r="B190" s="9" t="inlineStr">
        <is>
          <t>Metrics</t>
        </is>
      </c>
      <c r="C190" s="9" t="inlineStr">
        <is>
          <t>Accuracy</t>
        </is>
      </c>
      <c r="D190" s="10" t="inlineStr">
        <is>
          <t>Day 38</t>
        </is>
      </c>
      <c r="E190" s="10" t="inlineStr">
        <is>
          <t>30 min</t>
        </is>
      </c>
      <c r="F190" s="10" t="inlineStr">
        <is>
          <t>☐ Not Started</t>
        </is>
      </c>
      <c r="G190" s="10">
        <f>IF(F190="☑ Completed", "COMPLETED", "NOT STARTED")</f>
        <v/>
      </c>
      <c r="H190" s="10" t="inlineStr">
        <is>
          <t>Day 41</t>
        </is>
      </c>
      <c r="I190" s="10" t="inlineStr">
        <is>
          <t>☐ Not Started</t>
        </is>
      </c>
      <c r="J190" s="10" t="inlineStr">
        <is>
          <t>Day 45</t>
        </is>
      </c>
      <c r="K190" s="10" t="inlineStr">
        <is>
          <t>☐ Not Started</t>
        </is>
      </c>
      <c r="L190" s="10" t="inlineStr"/>
    </row>
    <row r="191">
      <c r="A191" s="9" t="inlineStr">
        <is>
          <t>Machine Learning</t>
        </is>
      </c>
      <c r="B191" s="9" t="inlineStr">
        <is>
          <t>Metrics</t>
        </is>
      </c>
      <c r="C191" s="9" t="inlineStr">
        <is>
          <t>Precision</t>
        </is>
      </c>
      <c r="D191" s="10" t="inlineStr">
        <is>
          <t>Day 38</t>
        </is>
      </c>
      <c r="E191" s="10" t="inlineStr">
        <is>
          <t>30 min</t>
        </is>
      </c>
      <c r="F191" s="10" t="inlineStr">
        <is>
          <t>☐ Not Started</t>
        </is>
      </c>
      <c r="G191" s="10">
        <f>IF(F191="☑ Completed", "COMPLETED", "NOT STARTED")</f>
        <v/>
      </c>
      <c r="H191" s="10" t="inlineStr">
        <is>
          <t>Day 41</t>
        </is>
      </c>
      <c r="I191" s="10" t="inlineStr">
        <is>
          <t>☐ Not Started</t>
        </is>
      </c>
      <c r="J191" s="10" t="inlineStr">
        <is>
          <t>Day 45</t>
        </is>
      </c>
      <c r="K191" s="10" t="inlineStr">
        <is>
          <t>☐ Not Started</t>
        </is>
      </c>
      <c r="L191" s="10" t="inlineStr"/>
    </row>
    <row r="192">
      <c r="A192" s="9" t="inlineStr">
        <is>
          <t>Machine Learning</t>
        </is>
      </c>
      <c r="B192" s="9" t="inlineStr">
        <is>
          <t>Metrics</t>
        </is>
      </c>
      <c r="C192" s="9" t="inlineStr">
        <is>
          <t>Recall</t>
        </is>
      </c>
      <c r="D192" s="10" t="inlineStr">
        <is>
          <t>Day 39</t>
        </is>
      </c>
      <c r="E192" s="10" t="inlineStr">
        <is>
          <t>45 min</t>
        </is>
      </c>
      <c r="F192" s="10" t="inlineStr">
        <is>
          <t>☐ Not Started</t>
        </is>
      </c>
      <c r="G192" s="10">
        <f>IF(F192="☑ Completed", "COMPLETED", "NOT STARTED")</f>
        <v/>
      </c>
      <c r="H192" s="10" t="inlineStr">
        <is>
          <t>Day 42</t>
        </is>
      </c>
      <c r="I192" s="10" t="inlineStr">
        <is>
          <t>☐ Not Started</t>
        </is>
      </c>
      <c r="J192" s="10" t="inlineStr">
        <is>
          <t>Day 46</t>
        </is>
      </c>
      <c r="K192" s="10" t="inlineStr">
        <is>
          <t>☐ Not Started</t>
        </is>
      </c>
      <c r="L192" s="10" t="inlineStr"/>
    </row>
    <row r="193">
      <c r="A193" s="9" t="inlineStr">
        <is>
          <t>Machine Learning</t>
        </is>
      </c>
      <c r="B193" s="9" t="inlineStr">
        <is>
          <t>Metrics</t>
        </is>
      </c>
      <c r="C193" s="9" t="inlineStr">
        <is>
          <t>F1-score</t>
        </is>
      </c>
      <c r="D193" s="10" t="inlineStr">
        <is>
          <t>Day 39</t>
        </is>
      </c>
      <c r="E193" s="10" t="inlineStr">
        <is>
          <t>30 min</t>
        </is>
      </c>
      <c r="F193" s="10" t="inlineStr">
        <is>
          <t>☐ Not Started</t>
        </is>
      </c>
      <c r="G193" s="10">
        <f>IF(F193="☑ Completed", "COMPLETED", "NOT STARTED")</f>
        <v/>
      </c>
      <c r="H193" s="10" t="inlineStr">
        <is>
          <t>Day 42</t>
        </is>
      </c>
      <c r="I193" s="10" t="inlineStr">
        <is>
          <t>☐ Not Started</t>
        </is>
      </c>
      <c r="J193" s="10" t="inlineStr">
        <is>
          <t>Day 46</t>
        </is>
      </c>
      <c r="K193" s="10" t="inlineStr">
        <is>
          <t>☐ Not Started</t>
        </is>
      </c>
      <c r="L193" s="10" t="inlineStr"/>
    </row>
    <row r="194">
      <c r="A194" s="9" t="inlineStr">
        <is>
          <t>Machine Learning</t>
        </is>
      </c>
      <c r="B194" s="9" t="inlineStr">
        <is>
          <t>Metrics</t>
        </is>
      </c>
      <c r="C194" s="9" t="inlineStr">
        <is>
          <t>Confusion matrix</t>
        </is>
      </c>
      <c r="D194" s="10" t="inlineStr">
        <is>
          <t>Day 39</t>
        </is>
      </c>
      <c r="E194" s="10" t="inlineStr">
        <is>
          <t>30 min</t>
        </is>
      </c>
      <c r="F194" s="10" t="inlineStr">
        <is>
          <t>☐ Not Started</t>
        </is>
      </c>
      <c r="G194" s="10">
        <f>IF(F194="☑ Completed", "COMPLETED", "NOT STARTED")</f>
        <v/>
      </c>
      <c r="H194" s="10" t="inlineStr">
        <is>
          <t>Day 42</t>
        </is>
      </c>
      <c r="I194" s="10" t="inlineStr">
        <is>
          <t>☐ Not Started</t>
        </is>
      </c>
      <c r="J194" s="10" t="inlineStr">
        <is>
          <t>Day 46</t>
        </is>
      </c>
      <c r="K194" s="10" t="inlineStr">
        <is>
          <t>☐ Not Started</t>
        </is>
      </c>
      <c r="L194" s="10" t="inlineStr"/>
    </row>
    <row r="195">
      <c r="A195" s="9" t="inlineStr">
        <is>
          <t>Machine Learning</t>
        </is>
      </c>
      <c r="B195" s="9" t="inlineStr">
        <is>
          <t>Metrics</t>
        </is>
      </c>
      <c r="C195" s="9" t="inlineStr">
        <is>
          <t>ROC-AUC</t>
        </is>
      </c>
      <c r="D195" s="10" t="inlineStr">
        <is>
          <t>Day 39</t>
        </is>
      </c>
      <c r="E195" s="10" t="inlineStr">
        <is>
          <t>30 min</t>
        </is>
      </c>
      <c r="F195" s="10" t="inlineStr">
        <is>
          <t>☐ Not Started</t>
        </is>
      </c>
      <c r="G195" s="10">
        <f>IF(F195="☑ Completed", "COMPLETED", "NOT STARTED")</f>
        <v/>
      </c>
      <c r="H195" s="10" t="inlineStr">
        <is>
          <t>Day 42</t>
        </is>
      </c>
      <c r="I195" s="10" t="inlineStr">
        <is>
          <t>☐ Not Started</t>
        </is>
      </c>
      <c r="J195" s="10" t="inlineStr">
        <is>
          <t>Day 46</t>
        </is>
      </c>
      <c r="K195" s="10" t="inlineStr">
        <is>
          <t>☐ Not Started</t>
        </is>
      </c>
      <c r="L195" s="10" t="inlineStr"/>
    </row>
    <row r="196">
      <c r="A196" s="9" t="inlineStr">
        <is>
          <t>Machine Learning</t>
        </is>
      </c>
      <c r="B196" s="9" t="inlineStr">
        <is>
          <t>Metrics</t>
        </is>
      </c>
      <c r="C196" s="9" t="inlineStr">
        <is>
          <t>MAE</t>
        </is>
      </c>
      <c r="D196" s="10" t="inlineStr">
        <is>
          <t>Day 39</t>
        </is>
      </c>
      <c r="E196" s="10" t="inlineStr">
        <is>
          <t>30 min</t>
        </is>
      </c>
      <c r="F196" s="10" t="inlineStr">
        <is>
          <t>☐ Not Started</t>
        </is>
      </c>
      <c r="G196" s="10">
        <f>IF(F196="☑ Completed", "COMPLETED", "NOT STARTED")</f>
        <v/>
      </c>
      <c r="H196" s="10" t="inlineStr">
        <is>
          <t>Day 42</t>
        </is>
      </c>
      <c r="I196" s="10" t="inlineStr">
        <is>
          <t>☐ Not Started</t>
        </is>
      </c>
      <c r="J196" s="10" t="inlineStr">
        <is>
          <t>Day 46</t>
        </is>
      </c>
      <c r="K196" s="10" t="inlineStr">
        <is>
          <t>☐ Not Started</t>
        </is>
      </c>
      <c r="L196" s="10" t="inlineStr"/>
    </row>
    <row r="197">
      <c r="A197" s="9" t="inlineStr">
        <is>
          <t>Machine Learning</t>
        </is>
      </c>
      <c r="B197" s="9" t="inlineStr">
        <is>
          <t>Metrics</t>
        </is>
      </c>
      <c r="C197" s="9" t="inlineStr">
        <is>
          <t>MSE</t>
        </is>
      </c>
      <c r="D197" s="10" t="inlineStr">
        <is>
          <t>Day 40</t>
        </is>
      </c>
      <c r="E197" s="10" t="inlineStr">
        <is>
          <t>45 min</t>
        </is>
      </c>
      <c r="F197" s="10" t="inlineStr">
        <is>
          <t>☐ Not Started</t>
        </is>
      </c>
      <c r="G197" s="10">
        <f>IF(F197="☑ Completed", "COMPLETED", "NOT STARTED")</f>
        <v/>
      </c>
      <c r="H197" s="10" t="inlineStr">
        <is>
          <t>Day 43</t>
        </is>
      </c>
      <c r="I197" s="10" t="inlineStr">
        <is>
          <t>☐ Not Started</t>
        </is>
      </c>
      <c r="J197" s="10" t="inlineStr">
        <is>
          <t>Day 47</t>
        </is>
      </c>
      <c r="K197" s="10" t="inlineStr">
        <is>
          <t>☐ Not Started</t>
        </is>
      </c>
      <c r="L197" s="10" t="inlineStr"/>
    </row>
    <row r="198">
      <c r="A198" s="9" t="inlineStr">
        <is>
          <t>Machine Learning</t>
        </is>
      </c>
      <c r="B198" s="9" t="inlineStr">
        <is>
          <t>Metrics</t>
        </is>
      </c>
      <c r="C198" s="9" t="inlineStr">
        <is>
          <t>RMSE</t>
        </is>
      </c>
      <c r="D198" s="10" t="inlineStr">
        <is>
          <t>Day 40</t>
        </is>
      </c>
      <c r="E198" s="10" t="inlineStr">
        <is>
          <t>30 min</t>
        </is>
      </c>
      <c r="F198" s="10" t="inlineStr">
        <is>
          <t>☐ Not Started</t>
        </is>
      </c>
      <c r="G198" s="10">
        <f>IF(F198="☑ Completed", "COMPLETED", "NOT STARTED")</f>
        <v/>
      </c>
      <c r="H198" s="10" t="inlineStr">
        <is>
          <t>Day 43</t>
        </is>
      </c>
      <c r="I198" s="10" t="inlineStr">
        <is>
          <t>☐ Not Started</t>
        </is>
      </c>
      <c r="J198" s="10" t="inlineStr">
        <is>
          <t>Day 47</t>
        </is>
      </c>
      <c r="K198" s="10" t="inlineStr">
        <is>
          <t>☐ Not Started</t>
        </is>
      </c>
      <c r="L198" s="10" t="inlineStr"/>
    </row>
    <row r="199">
      <c r="A199" s="9" t="inlineStr">
        <is>
          <t>Machine Learning</t>
        </is>
      </c>
      <c r="B199" s="9" t="inlineStr">
        <is>
          <t>Metrics</t>
        </is>
      </c>
      <c r="C199" s="9" t="inlineStr">
        <is>
          <t>R2</t>
        </is>
      </c>
      <c r="D199" s="10" t="inlineStr">
        <is>
          <t>Day 40</t>
        </is>
      </c>
      <c r="E199" s="10" t="inlineStr">
        <is>
          <t>30 min</t>
        </is>
      </c>
      <c r="F199" s="10" t="inlineStr">
        <is>
          <t>☐ Not Started</t>
        </is>
      </c>
      <c r="G199" s="10">
        <f>IF(F199="☑ Completed", "COMPLETED", "NOT STARTED")</f>
        <v/>
      </c>
      <c r="H199" s="10" t="inlineStr">
        <is>
          <t>Day 43</t>
        </is>
      </c>
      <c r="I199" s="10" t="inlineStr">
        <is>
          <t>☐ Not Started</t>
        </is>
      </c>
      <c r="J199" s="10" t="inlineStr">
        <is>
          <t>Day 47</t>
        </is>
      </c>
      <c r="K199" s="10" t="inlineStr">
        <is>
          <t>☐ Not Started</t>
        </is>
      </c>
      <c r="L199" s="10" t="inlineStr"/>
    </row>
    <row r="200">
      <c r="A200" s="9" t="inlineStr">
        <is>
          <t>Project</t>
        </is>
      </c>
      <c r="B200" s="9" t="inlineStr">
        <is>
          <t>Churn Prediction</t>
        </is>
      </c>
      <c r="C200" s="9" t="inlineStr">
        <is>
          <t>Dataset understanding</t>
        </is>
      </c>
      <c r="D200" s="10" t="inlineStr">
        <is>
          <t>Day 40</t>
        </is>
      </c>
      <c r="E200" s="10" t="inlineStr">
        <is>
          <t>30 min</t>
        </is>
      </c>
      <c r="F200" s="10" t="inlineStr">
        <is>
          <t>☐ Not Started</t>
        </is>
      </c>
      <c r="G200" s="10">
        <f>IF(F200="☑ Completed", "COMPLETED", "NOT STARTED")</f>
        <v/>
      </c>
      <c r="H200" s="10" t="inlineStr">
        <is>
          <t>Day 43</t>
        </is>
      </c>
      <c r="I200" s="10" t="inlineStr">
        <is>
          <t>☐ Not Started</t>
        </is>
      </c>
      <c r="J200" s="10" t="inlineStr">
        <is>
          <t>Day 47</t>
        </is>
      </c>
      <c r="K200" s="10" t="inlineStr">
        <is>
          <t>☐ Not Started</t>
        </is>
      </c>
      <c r="L200" s="10" t="inlineStr"/>
    </row>
    <row r="201">
      <c r="A201" s="9" t="inlineStr">
        <is>
          <t>Project</t>
        </is>
      </c>
      <c r="B201" s="9" t="inlineStr">
        <is>
          <t>Churn Prediction</t>
        </is>
      </c>
      <c r="C201" s="9" t="inlineStr">
        <is>
          <t>Dataset loading</t>
        </is>
      </c>
      <c r="D201" s="10" t="inlineStr">
        <is>
          <t>Day 40</t>
        </is>
      </c>
      <c r="E201" s="10" t="inlineStr">
        <is>
          <t>30 min</t>
        </is>
      </c>
      <c r="F201" s="10" t="inlineStr">
        <is>
          <t>☐ Not Started</t>
        </is>
      </c>
      <c r="G201" s="10">
        <f>IF(F201="☑ Completed", "COMPLETED", "NOT STARTED")</f>
        <v/>
      </c>
      <c r="H201" s="10" t="inlineStr">
        <is>
          <t>Day 43</t>
        </is>
      </c>
      <c r="I201" s="10" t="inlineStr">
        <is>
          <t>☐ Not Started</t>
        </is>
      </c>
      <c r="J201" s="10" t="inlineStr">
        <is>
          <t>Day 47</t>
        </is>
      </c>
      <c r="K201" s="10" t="inlineStr">
        <is>
          <t>☐ Not Started</t>
        </is>
      </c>
      <c r="L201" s="10" t="inlineStr"/>
    </row>
    <row r="202">
      <c r="A202" s="9" t="inlineStr">
        <is>
          <t>Project</t>
        </is>
      </c>
      <c r="B202" s="9" t="inlineStr">
        <is>
          <t>Churn Prediction</t>
        </is>
      </c>
      <c r="C202" s="9" t="inlineStr">
        <is>
          <t>EDA</t>
        </is>
      </c>
      <c r="D202" s="10" t="inlineStr">
        <is>
          <t>Day 41</t>
        </is>
      </c>
      <c r="E202" s="10" t="inlineStr">
        <is>
          <t>45 min</t>
        </is>
      </c>
      <c r="F202" s="10" t="inlineStr">
        <is>
          <t>☐ Not Started</t>
        </is>
      </c>
      <c r="G202" s="10">
        <f>IF(F202="☑ Completed", "COMPLETED", "NOT STARTED")</f>
        <v/>
      </c>
      <c r="H202" s="10" t="inlineStr">
        <is>
          <t>Day 44</t>
        </is>
      </c>
      <c r="I202" s="10" t="inlineStr">
        <is>
          <t>☐ Not Started</t>
        </is>
      </c>
      <c r="J202" s="10" t="inlineStr">
        <is>
          <t>Day 48</t>
        </is>
      </c>
      <c r="K202" s="10" t="inlineStr">
        <is>
          <t>☐ Not Started</t>
        </is>
      </c>
      <c r="L202" s="10" t="inlineStr"/>
    </row>
    <row r="203">
      <c r="A203" s="9" t="inlineStr">
        <is>
          <t>Project</t>
        </is>
      </c>
      <c r="B203" s="9" t="inlineStr">
        <is>
          <t>Churn Prediction</t>
        </is>
      </c>
      <c r="C203" s="9" t="inlineStr">
        <is>
          <t>Missing values</t>
        </is>
      </c>
      <c r="D203" s="10" t="inlineStr">
        <is>
          <t>Day 41</t>
        </is>
      </c>
      <c r="E203" s="10" t="inlineStr">
        <is>
          <t>30 min</t>
        </is>
      </c>
      <c r="F203" s="10" t="inlineStr">
        <is>
          <t>☐ Not Started</t>
        </is>
      </c>
      <c r="G203" s="10">
        <f>IF(F203="☑ Completed", "COMPLETED", "NOT STARTED")</f>
        <v/>
      </c>
      <c r="H203" s="10" t="inlineStr">
        <is>
          <t>Day 44</t>
        </is>
      </c>
      <c r="I203" s="10" t="inlineStr">
        <is>
          <t>☐ Not Started</t>
        </is>
      </c>
      <c r="J203" s="10" t="inlineStr">
        <is>
          <t>Day 48</t>
        </is>
      </c>
      <c r="K203" s="10" t="inlineStr">
        <is>
          <t>☐ Not Started</t>
        </is>
      </c>
      <c r="L203" s="10" t="inlineStr"/>
    </row>
    <row r="204">
      <c r="A204" s="9" t="inlineStr">
        <is>
          <t>Project</t>
        </is>
      </c>
      <c r="B204" s="9" t="inlineStr">
        <is>
          <t>Churn Prediction</t>
        </is>
      </c>
      <c r="C204" s="9" t="inlineStr">
        <is>
          <t>Duplicate handling</t>
        </is>
      </c>
      <c r="D204" s="10" t="inlineStr">
        <is>
          <t>Day 41</t>
        </is>
      </c>
      <c r="E204" s="10" t="inlineStr">
        <is>
          <t>30 min</t>
        </is>
      </c>
      <c r="F204" s="10" t="inlineStr">
        <is>
          <t>☐ Not Started</t>
        </is>
      </c>
      <c r="G204" s="10">
        <f>IF(F204="☑ Completed", "COMPLETED", "NOT STARTED")</f>
        <v/>
      </c>
      <c r="H204" s="10" t="inlineStr">
        <is>
          <t>Day 44</t>
        </is>
      </c>
      <c r="I204" s="10" t="inlineStr">
        <is>
          <t>☐ Not Started</t>
        </is>
      </c>
      <c r="J204" s="10" t="inlineStr">
        <is>
          <t>Day 48</t>
        </is>
      </c>
      <c r="K204" s="10" t="inlineStr">
        <is>
          <t>☐ Not Started</t>
        </is>
      </c>
      <c r="L204" s="10" t="inlineStr"/>
    </row>
    <row r="205">
      <c r="A205" s="9" t="inlineStr">
        <is>
          <t>Project</t>
        </is>
      </c>
      <c r="B205" s="9" t="inlineStr">
        <is>
          <t>Churn Prediction</t>
        </is>
      </c>
      <c r="C205" s="9" t="inlineStr">
        <is>
          <t>Outlier analysis</t>
        </is>
      </c>
      <c r="D205" s="10" t="inlineStr">
        <is>
          <t>Day 41</t>
        </is>
      </c>
      <c r="E205" s="10" t="inlineStr">
        <is>
          <t>30 min</t>
        </is>
      </c>
      <c r="F205" s="10" t="inlineStr">
        <is>
          <t>☐ Not Started</t>
        </is>
      </c>
      <c r="G205" s="10">
        <f>IF(F205="☑ Completed", "COMPLETED", "NOT STARTED")</f>
        <v/>
      </c>
      <c r="H205" s="10" t="inlineStr">
        <is>
          <t>Day 44</t>
        </is>
      </c>
      <c r="I205" s="10" t="inlineStr">
        <is>
          <t>☐ Not Started</t>
        </is>
      </c>
      <c r="J205" s="10" t="inlineStr">
        <is>
          <t>Day 48</t>
        </is>
      </c>
      <c r="K205" s="10" t="inlineStr">
        <is>
          <t>☐ Not Started</t>
        </is>
      </c>
      <c r="L205" s="10" t="inlineStr"/>
    </row>
    <row r="206">
      <c r="A206" s="9" t="inlineStr">
        <is>
          <t>Project</t>
        </is>
      </c>
      <c r="B206" s="9" t="inlineStr">
        <is>
          <t>Churn Prediction</t>
        </is>
      </c>
      <c r="C206" s="9" t="inlineStr">
        <is>
          <t>Feature engineering</t>
        </is>
      </c>
      <c r="D206" s="10" t="inlineStr">
        <is>
          <t>Day 41</t>
        </is>
      </c>
      <c r="E206" s="10" t="inlineStr">
        <is>
          <t>30 min</t>
        </is>
      </c>
      <c r="F206" s="10" t="inlineStr">
        <is>
          <t>☐ Not Started</t>
        </is>
      </c>
      <c r="G206" s="10">
        <f>IF(F206="☑ Completed", "COMPLETED", "NOT STARTED")</f>
        <v/>
      </c>
      <c r="H206" s="10" t="inlineStr">
        <is>
          <t>Day 44</t>
        </is>
      </c>
      <c r="I206" s="10" t="inlineStr">
        <is>
          <t>☐ Not Started</t>
        </is>
      </c>
      <c r="J206" s="10" t="inlineStr">
        <is>
          <t>Day 48</t>
        </is>
      </c>
      <c r="K206" s="10" t="inlineStr">
        <is>
          <t>☐ Not Started</t>
        </is>
      </c>
      <c r="L206" s="10" t="inlineStr"/>
    </row>
    <row r="207">
      <c r="A207" s="9" t="inlineStr">
        <is>
          <t>Project</t>
        </is>
      </c>
      <c r="B207" s="9" t="inlineStr">
        <is>
          <t>Churn Prediction</t>
        </is>
      </c>
      <c r="C207" s="9" t="inlineStr">
        <is>
          <t>Encoding</t>
        </is>
      </c>
      <c r="D207" s="10" t="inlineStr">
        <is>
          <t>Day 42</t>
        </is>
      </c>
      <c r="E207" s="10" t="inlineStr">
        <is>
          <t>45 min</t>
        </is>
      </c>
      <c r="F207" s="10" t="inlineStr">
        <is>
          <t>☐ Not Started</t>
        </is>
      </c>
      <c r="G207" s="10">
        <f>IF(F207="☑ Completed", "COMPLETED", "NOT STARTED")</f>
        <v/>
      </c>
      <c r="H207" s="10" t="inlineStr">
        <is>
          <t>Day 45</t>
        </is>
      </c>
      <c r="I207" s="10" t="inlineStr">
        <is>
          <t>☐ Not Started</t>
        </is>
      </c>
      <c r="J207" s="10" t="inlineStr">
        <is>
          <t>Day 49</t>
        </is>
      </c>
      <c r="K207" s="10" t="inlineStr">
        <is>
          <t>☐ Not Started</t>
        </is>
      </c>
      <c r="L207" s="10" t="inlineStr"/>
    </row>
    <row r="208">
      <c r="A208" s="9" t="inlineStr">
        <is>
          <t>Project</t>
        </is>
      </c>
      <c r="B208" s="9" t="inlineStr">
        <is>
          <t>Churn Prediction</t>
        </is>
      </c>
      <c r="C208" s="9" t="inlineStr">
        <is>
          <t>Scaling</t>
        </is>
      </c>
      <c r="D208" s="10" t="inlineStr">
        <is>
          <t>Day 42</t>
        </is>
      </c>
      <c r="E208" s="10" t="inlineStr">
        <is>
          <t>30 min</t>
        </is>
      </c>
      <c r="F208" s="10" t="inlineStr">
        <is>
          <t>☐ Not Started</t>
        </is>
      </c>
      <c r="G208" s="10">
        <f>IF(F208="☑ Completed", "COMPLETED", "NOT STARTED")</f>
        <v/>
      </c>
      <c r="H208" s="10" t="inlineStr">
        <is>
          <t>Day 45</t>
        </is>
      </c>
      <c r="I208" s="10" t="inlineStr">
        <is>
          <t>☐ Not Started</t>
        </is>
      </c>
      <c r="J208" s="10" t="inlineStr">
        <is>
          <t>Day 49</t>
        </is>
      </c>
      <c r="K208" s="10" t="inlineStr">
        <is>
          <t>☐ Not Started</t>
        </is>
      </c>
      <c r="L208" s="10" t="inlineStr"/>
    </row>
    <row r="209">
      <c r="A209" s="9" t="inlineStr">
        <is>
          <t>Project</t>
        </is>
      </c>
      <c r="B209" s="9" t="inlineStr">
        <is>
          <t>Churn Prediction</t>
        </is>
      </c>
      <c r="C209" s="9" t="inlineStr">
        <is>
          <t>Train/test split</t>
        </is>
      </c>
      <c r="D209" s="10" t="inlineStr">
        <is>
          <t>Day 42</t>
        </is>
      </c>
      <c r="E209" s="10" t="inlineStr">
        <is>
          <t>30 min</t>
        </is>
      </c>
      <c r="F209" s="10" t="inlineStr">
        <is>
          <t>☐ Not Started</t>
        </is>
      </c>
      <c r="G209" s="10">
        <f>IF(F209="☑ Completed", "COMPLETED", "NOT STARTED")</f>
        <v/>
      </c>
      <c r="H209" s="10" t="inlineStr">
        <is>
          <t>Day 45</t>
        </is>
      </c>
      <c r="I209" s="10" t="inlineStr">
        <is>
          <t>☐ Not Started</t>
        </is>
      </c>
      <c r="J209" s="10" t="inlineStr">
        <is>
          <t>Day 49</t>
        </is>
      </c>
      <c r="K209" s="10" t="inlineStr">
        <is>
          <t>☐ Not Started</t>
        </is>
      </c>
      <c r="L209" s="10" t="inlineStr"/>
    </row>
    <row r="210">
      <c r="A210" s="9" t="inlineStr">
        <is>
          <t>Project</t>
        </is>
      </c>
      <c r="B210" s="9" t="inlineStr">
        <is>
          <t>Churn Prediction</t>
        </is>
      </c>
      <c r="C210" s="9" t="inlineStr">
        <is>
          <t>Model 1</t>
        </is>
      </c>
      <c r="D210" s="10" t="inlineStr">
        <is>
          <t>Day 42</t>
        </is>
      </c>
      <c r="E210" s="10" t="inlineStr">
        <is>
          <t>30 min</t>
        </is>
      </c>
      <c r="F210" s="10" t="inlineStr">
        <is>
          <t>☐ Not Started</t>
        </is>
      </c>
      <c r="G210" s="10">
        <f>IF(F210="☑ Completed", "COMPLETED", "NOT STARTED")</f>
        <v/>
      </c>
      <c r="H210" s="10" t="inlineStr">
        <is>
          <t>Day 45</t>
        </is>
      </c>
      <c r="I210" s="10" t="inlineStr">
        <is>
          <t>☐ Not Started</t>
        </is>
      </c>
      <c r="J210" s="10" t="inlineStr">
        <is>
          <t>Day 49</t>
        </is>
      </c>
      <c r="K210" s="10" t="inlineStr">
        <is>
          <t>☐ Not Started</t>
        </is>
      </c>
      <c r="L210" s="10" t="inlineStr"/>
    </row>
    <row r="211">
      <c r="A211" s="9" t="inlineStr">
        <is>
          <t>Project</t>
        </is>
      </c>
      <c r="B211" s="9" t="inlineStr">
        <is>
          <t>Churn Prediction</t>
        </is>
      </c>
      <c r="C211" s="9" t="inlineStr">
        <is>
          <t>Model 2</t>
        </is>
      </c>
      <c r="D211" s="10" t="inlineStr">
        <is>
          <t>Day 42</t>
        </is>
      </c>
      <c r="E211" s="10" t="inlineStr">
        <is>
          <t>30 min</t>
        </is>
      </c>
      <c r="F211" s="10" t="inlineStr">
        <is>
          <t>☐ Not Started</t>
        </is>
      </c>
      <c r="G211" s="10">
        <f>IF(F211="☑ Completed", "COMPLETED", "NOT STARTED")</f>
        <v/>
      </c>
      <c r="H211" s="10" t="inlineStr">
        <is>
          <t>Day 45</t>
        </is>
      </c>
      <c r="I211" s="10" t="inlineStr">
        <is>
          <t>☐ Not Started</t>
        </is>
      </c>
      <c r="J211" s="10" t="inlineStr">
        <is>
          <t>Day 49</t>
        </is>
      </c>
      <c r="K211" s="10" t="inlineStr">
        <is>
          <t>☐ Not Started</t>
        </is>
      </c>
      <c r="L211" s="10" t="inlineStr"/>
    </row>
    <row r="212">
      <c r="A212" s="9" t="inlineStr">
        <is>
          <t>Project</t>
        </is>
      </c>
      <c r="B212" s="9" t="inlineStr">
        <is>
          <t>Churn Prediction</t>
        </is>
      </c>
      <c r="C212" s="9" t="inlineStr">
        <is>
          <t>Model 3</t>
        </is>
      </c>
      <c r="D212" s="10" t="inlineStr">
        <is>
          <t>Day 43</t>
        </is>
      </c>
      <c r="E212" s="10" t="inlineStr">
        <is>
          <t>45 min</t>
        </is>
      </c>
      <c r="F212" s="10" t="inlineStr">
        <is>
          <t>☐ Not Started</t>
        </is>
      </c>
      <c r="G212" s="10">
        <f>IF(F212="☑ Completed", "COMPLETED", "NOT STARTED")</f>
        <v/>
      </c>
      <c r="H212" s="10" t="inlineStr">
        <is>
          <t>Day 46</t>
        </is>
      </c>
      <c r="I212" s="10" t="inlineStr">
        <is>
          <t>☐ Not Started</t>
        </is>
      </c>
      <c r="J212" s="10" t="inlineStr">
        <is>
          <t>Day 50</t>
        </is>
      </c>
      <c r="K212" s="10" t="inlineStr">
        <is>
          <t>☐ Not Started</t>
        </is>
      </c>
      <c r="L212" s="10" t="inlineStr"/>
    </row>
    <row r="213">
      <c r="A213" s="9" t="inlineStr">
        <is>
          <t>Project</t>
        </is>
      </c>
      <c r="B213" s="9" t="inlineStr">
        <is>
          <t>Churn Prediction</t>
        </is>
      </c>
      <c r="C213" s="9" t="inlineStr">
        <is>
          <t>Model comparison</t>
        </is>
      </c>
      <c r="D213" s="10" t="inlineStr">
        <is>
          <t>Day 43</t>
        </is>
      </c>
      <c r="E213" s="10" t="inlineStr">
        <is>
          <t>30 min</t>
        </is>
      </c>
      <c r="F213" s="10" t="inlineStr">
        <is>
          <t>☐ Not Started</t>
        </is>
      </c>
      <c r="G213" s="10">
        <f>IF(F213="☑ Completed", "COMPLETED", "NOT STARTED")</f>
        <v/>
      </c>
      <c r="H213" s="10" t="inlineStr">
        <is>
          <t>Day 46</t>
        </is>
      </c>
      <c r="I213" s="10" t="inlineStr">
        <is>
          <t>☐ Not Started</t>
        </is>
      </c>
      <c r="J213" s="10" t="inlineStr">
        <is>
          <t>Day 50</t>
        </is>
      </c>
      <c r="K213" s="10" t="inlineStr">
        <is>
          <t>☐ Not Started</t>
        </is>
      </c>
      <c r="L213" s="10" t="inlineStr"/>
    </row>
    <row r="214">
      <c r="A214" s="9" t="inlineStr">
        <is>
          <t>Project</t>
        </is>
      </c>
      <c r="B214" s="9" t="inlineStr">
        <is>
          <t>Churn Prediction</t>
        </is>
      </c>
      <c r="C214" s="9" t="inlineStr">
        <is>
          <t>Evaluation</t>
        </is>
      </c>
      <c r="D214" s="10" t="inlineStr">
        <is>
          <t>Day 43</t>
        </is>
      </c>
      <c r="E214" s="10" t="inlineStr">
        <is>
          <t>30 min</t>
        </is>
      </c>
      <c r="F214" s="10" t="inlineStr">
        <is>
          <t>☐ Not Started</t>
        </is>
      </c>
      <c r="G214" s="10">
        <f>IF(F214="☑ Completed", "COMPLETED", "NOT STARTED")</f>
        <v/>
      </c>
      <c r="H214" s="10" t="inlineStr">
        <is>
          <t>Day 46</t>
        </is>
      </c>
      <c r="I214" s="10" t="inlineStr">
        <is>
          <t>☐ Not Started</t>
        </is>
      </c>
      <c r="J214" s="10" t="inlineStr">
        <is>
          <t>Day 50</t>
        </is>
      </c>
      <c r="K214" s="10" t="inlineStr">
        <is>
          <t>☐ Not Started</t>
        </is>
      </c>
      <c r="L214" s="10" t="inlineStr"/>
    </row>
    <row r="215">
      <c r="A215" s="9" t="inlineStr">
        <is>
          <t>Project</t>
        </is>
      </c>
      <c r="B215" s="9" t="inlineStr">
        <is>
          <t>Churn Prediction</t>
        </is>
      </c>
      <c r="C215" s="9" t="inlineStr">
        <is>
          <t>Hyperparameter tuning</t>
        </is>
      </c>
      <c r="D215" s="10" t="inlineStr">
        <is>
          <t>Day 43</t>
        </is>
      </c>
      <c r="E215" s="10" t="inlineStr">
        <is>
          <t>30 min</t>
        </is>
      </c>
      <c r="F215" s="10" t="inlineStr">
        <is>
          <t>☐ Not Started</t>
        </is>
      </c>
      <c r="G215" s="10">
        <f>IF(F215="☑ Completed", "COMPLETED", "NOT STARTED")</f>
        <v/>
      </c>
      <c r="H215" s="10" t="inlineStr">
        <is>
          <t>Day 46</t>
        </is>
      </c>
      <c r="I215" s="10" t="inlineStr">
        <is>
          <t>☐ Not Started</t>
        </is>
      </c>
      <c r="J215" s="10" t="inlineStr">
        <is>
          <t>Day 50</t>
        </is>
      </c>
      <c r="K215" s="10" t="inlineStr">
        <is>
          <t>☐ Not Started</t>
        </is>
      </c>
      <c r="L215" s="10" t="inlineStr"/>
    </row>
    <row r="216">
      <c r="A216" s="9" t="inlineStr">
        <is>
          <t>Project</t>
        </is>
      </c>
      <c r="B216" s="9" t="inlineStr">
        <is>
          <t>Churn Prediction</t>
        </is>
      </c>
      <c r="C216" s="9" t="inlineStr">
        <is>
          <t>Final model</t>
        </is>
      </c>
      <c r="D216" s="10" t="inlineStr">
        <is>
          <t>Day 43</t>
        </is>
      </c>
      <c r="E216" s="10" t="inlineStr">
        <is>
          <t>30 min</t>
        </is>
      </c>
      <c r="F216" s="10" t="inlineStr">
        <is>
          <t>☐ Not Started</t>
        </is>
      </c>
      <c r="G216" s="10">
        <f>IF(F216="☑ Completed", "COMPLETED", "NOT STARTED")</f>
        <v/>
      </c>
      <c r="H216" s="10" t="inlineStr">
        <is>
          <t>Day 46</t>
        </is>
      </c>
      <c r="I216" s="10" t="inlineStr">
        <is>
          <t>☐ Not Started</t>
        </is>
      </c>
      <c r="J216" s="10" t="inlineStr">
        <is>
          <t>Day 50</t>
        </is>
      </c>
      <c r="K216" s="10" t="inlineStr">
        <is>
          <t>☐ Not Started</t>
        </is>
      </c>
      <c r="L216" s="10" t="inlineStr"/>
    </row>
    <row r="217">
      <c r="A217" s="9" t="inlineStr">
        <is>
          <t>Project</t>
        </is>
      </c>
      <c r="B217" s="9" t="inlineStr">
        <is>
          <t>Churn Prediction</t>
        </is>
      </c>
      <c r="C217" s="9" t="inlineStr">
        <is>
          <t>Save model</t>
        </is>
      </c>
      <c r="D217" s="10" t="inlineStr">
        <is>
          <t>Day 44</t>
        </is>
      </c>
      <c r="E217" s="10" t="inlineStr">
        <is>
          <t>45 min</t>
        </is>
      </c>
      <c r="F217" s="10" t="inlineStr">
        <is>
          <t>☐ Not Started</t>
        </is>
      </c>
      <c r="G217" s="10">
        <f>IF(F217="☑ Completed", "COMPLETED", "NOT STARTED")</f>
        <v/>
      </c>
      <c r="H217" s="10" t="inlineStr">
        <is>
          <t>Day 47</t>
        </is>
      </c>
      <c r="I217" s="10" t="inlineStr">
        <is>
          <t>☐ Not Started</t>
        </is>
      </c>
      <c r="J217" s="10" t="inlineStr">
        <is>
          <t>Day 51</t>
        </is>
      </c>
      <c r="K217" s="10" t="inlineStr">
        <is>
          <t>☐ Not Started</t>
        </is>
      </c>
      <c r="L217" s="10" t="inlineStr"/>
    </row>
    <row r="218">
      <c r="A218" s="9" t="inlineStr">
        <is>
          <t>Project</t>
        </is>
      </c>
      <c r="B218" s="9" t="inlineStr">
        <is>
          <t>Churn Prediction</t>
        </is>
      </c>
      <c r="C218" s="9" t="inlineStr">
        <is>
          <t>Streamlit UI</t>
        </is>
      </c>
      <c r="D218" s="10" t="inlineStr">
        <is>
          <t>Day 44</t>
        </is>
      </c>
      <c r="E218" s="10" t="inlineStr">
        <is>
          <t>30 min</t>
        </is>
      </c>
      <c r="F218" s="10" t="inlineStr">
        <is>
          <t>☐ Not Started</t>
        </is>
      </c>
      <c r="G218" s="10">
        <f>IF(F218="☑ Completed", "COMPLETED", "NOT STARTED")</f>
        <v/>
      </c>
      <c r="H218" s="10" t="inlineStr">
        <is>
          <t>Day 47</t>
        </is>
      </c>
      <c r="I218" s="10" t="inlineStr">
        <is>
          <t>☐ Not Started</t>
        </is>
      </c>
      <c r="J218" s="10" t="inlineStr">
        <is>
          <t>Day 51</t>
        </is>
      </c>
      <c r="K218" s="10" t="inlineStr">
        <is>
          <t>☐ Not Started</t>
        </is>
      </c>
      <c r="L218" s="10" t="inlineStr"/>
    </row>
    <row r="219">
      <c r="A219" s="9" t="inlineStr">
        <is>
          <t>Project</t>
        </is>
      </c>
      <c r="B219" s="9" t="inlineStr">
        <is>
          <t>Churn Prediction</t>
        </is>
      </c>
      <c r="C219" s="9" t="inlineStr">
        <is>
          <t>Testing</t>
        </is>
      </c>
      <c r="D219" s="10" t="inlineStr">
        <is>
          <t>Day 44</t>
        </is>
      </c>
      <c r="E219" s="10" t="inlineStr">
        <is>
          <t>30 min</t>
        </is>
      </c>
      <c r="F219" s="10" t="inlineStr">
        <is>
          <t>☐ Not Started</t>
        </is>
      </c>
      <c r="G219" s="10">
        <f>IF(F219="☑ Completed", "COMPLETED", "NOT STARTED")</f>
        <v/>
      </c>
      <c r="H219" s="10" t="inlineStr">
        <is>
          <t>Day 47</t>
        </is>
      </c>
      <c r="I219" s="10" t="inlineStr">
        <is>
          <t>☐ Not Started</t>
        </is>
      </c>
      <c r="J219" s="10" t="inlineStr">
        <is>
          <t>Day 51</t>
        </is>
      </c>
      <c r="K219" s="10" t="inlineStr">
        <is>
          <t>☐ Not Started</t>
        </is>
      </c>
      <c r="L219" s="10" t="inlineStr"/>
    </row>
    <row r="220">
      <c r="A220" s="9" t="inlineStr">
        <is>
          <t>Project</t>
        </is>
      </c>
      <c r="B220" s="9" t="inlineStr">
        <is>
          <t>Churn Prediction</t>
        </is>
      </c>
      <c r="C220" s="9" t="inlineStr">
        <is>
          <t>Error handling</t>
        </is>
      </c>
      <c r="D220" s="10" t="inlineStr">
        <is>
          <t>Day 44</t>
        </is>
      </c>
      <c r="E220" s="10" t="inlineStr">
        <is>
          <t>30 min</t>
        </is>
      </c>
      <c r="F220" s="10" t="inlineStr">
        <is>
          <t>☐ Not Started</t>
        </is>
      </c>
      <c r="G220" s="10">
        <f>IF(F220="☑ Completed", "COMPLETED", "NOT STARTED")</f>
        <v/>
      </c>
      <c r="H220" s="10" t="inlineStr">
        <is>
          <t>Day 47</t>
        </is>
      </c>
      <c r="I220" s="10" t="inlineStr">
        <is>
          <t>☐ Not Started</t>
        </is>
      </c>
      <c r="J220" s="10" t="inlineStr">
        <is>
          <t>Day 51</t>
        </is>
      </c>
      <c r="K220" s="10" t="inlineStr">
        <is>
          <t>☐ Not Started</t>
        </is>
      </c>
      <c r="L220" s="10" t="inlineStr"/>
    </row>
    <row r="221">
      <c r="A221" s="9" t="inlineStr">
        <is>
          <t>Project</t>
        </is>
      </c>
      <c r="B221" s="9" t="inlineStr">
        <is>
          <t>Churn Prediction</t>
        </is>
      </c>
      <c r="C221" s="9" t="inlineStr">
        <is>
          <t>GitHub</t>
        </is>
      </c>
      <c r="D221" s="10" t="inlineStr">
        <is>
          <t>Day 44</t>
        </is>
      </c>
      <c r="E221" s="10" t="inlineStr">
        <is>
          <t>30 min</t>
        </is>
      </c>
      <c r="F221" s="10" t="inlineStr">
        <is>
          <t>☐ Not Started</t>
        </is>
      </c>
      <c r="G221" s="10">
        <f>IF(F221="☑ Completed", "COMPLETED", "NOT STARTED")</f>
        <v/>
      </c>
      <c r="H221" s="10" t="inlineStr">
        <is>
          <t>Day 47</t>
        </is>
      </c>
      <c r="I221" s="10" t="inlineStr">
        <is>
          <t>☐ Not Started</t>
        </is>
      </c>
      <c r="J221" s="10" t="inlineStr">
        <is>
          <t>Day 51</t>
        </is>
      </c>
      <c r="K221" s="10" t="inlineStr">
        <is>
          <t>☐ Not Started</t>
        </is>
      </c>
      <c r="L221" s="10" t="inlineStr"/>
    </row>
    <row r="222">
      <c r="A222" s="9" t="inlineStr">
        <is>
          <t>Project</t>
        </is>
      </c>
      <c r="B222" s="9" t="inlineStr">
        <is>
          <t>Churn Prediction</t>
        </is>
      </c>
      <c r="C222" s="9" t="inlineStr">
        <is>
          <t>README</t>
        </is>
      </c>
      <c r="D222" s="10" t="inlineStr">
        <is>
          <t>Day 45</t>
        </is>
      </c>
      <c r="E222" s="10" t="inlineStr">
        <is>
          <t>45 min</t>
        </is>
      </c>
      <c r="F222" s="10" t="inlineStr">
        <is>
          <t>☐ Not Started</t>
        </is>
      </c>
      <c r="G222" s="10">
        <f>IF(F222="☑ Completed", "COMPLETED", "NOT STARTED")</f>
        <v/>
      </c>
      <c r="H222" s="10" t="inlineStr">
        <is>
          <t>Day 48</t>
        </is>
      </c>
      <c r="I222" s="10" t="inlineStr">
        <is>
          <t>☐ Not Started</t>
        </is>
      </c>
      <c r="J222" s="10" t="inlineStr">
        <is>
          <t>Day 52</t>
        </is>
      </c>
      <c r="K222" s="10" t="inlineStr">
        <is>
          <t>☐ Not Started</t>
        </is>
      </c>
      <c r="L222" s="10" t="inlineStr"/>
    </row>
    <row r="223">
      <c r="A223" s="9" t="inlineStr">
        <is>
          <t>Project</t>
        </is>
      </c>
      <c r="B223" s="9" t="inlineStr">
        <is>
          <t>Churn Prediction</t>
        </is>
      </c>
      <c r="C223" s="9" t="inlineStr">
        <is>
          <t>Project explanation</t>
        </is>
      </c>
      <c r="D223" s="10" t="inlineStr">
        <is>
          <t>Day 45</t>
        </is>
      </c>
      <c r="E223" s="10" t="inlineStr">
        <is>
          <t>30 min</t>
        </is>
      </c>
      <c r="F223" s="10" t="inlineStr">
        <is>
          <t>☐ Not Started</t>
        </is>
      </c>
      <c r="G223" s="10">
        <f>IF(F223="☑ Completed", "COMPLETED", "NOT STARTED")</f>
        <v/>
      </c>
      <c r="H223" s="10" t="inlineStr">
        <is>
          <t>Day 48</t>
        </is>
      </c>
      <c r="I223" s="10" t="inlineStr">
        <is>
          <t>☐ Not Started</t>
        </is>
      </c>
      <c r="J223" s="10" t="inlineStr">
        <is>
          <t>Day 52</t>
        </is>
      </c>
      <c r="K223" s="10" t="inlineStr">
        <is>
          <t>☐ Not Started</t>
        </is>
      </c>
      <c r="L223" s="10" t="inlineStr"/>
    </row>
    <row r="224">
      <c r="A224" s="9" t="inlineStr">
        <is>
          <t>Project</t>
        </is>
      </c>
      <c r="B224" s="9" t="inlineStr">
        <is>
          <t>Churn Prediction</t>
        </is>
      </c>
      <c r="C224" s="9" t="inlineStr">
        <is>
          <t>Interview preparation</t>
        </is>
      </c>
      <c r="D224" s="10" t="inlineStr">
        <is>
          <t>Day 45</t>
        </is>
      </c>
      <c r="E224" s="10" t="inlineStr">
        <is>
          <t>30 min</t>
        </is>
      </c>
      <c r="F224" s="10" t="inlineStr">
        <is>
          <t>☐ Not Started</t>
        </is>
      </c>
      <c r="G224" s="10">
        <f>IF(F224="☑ Completed", "COMPLETED", "NOT STARTED")</f>
        <v/>
      </c>
      <c r="H224" s="10" t="inlineStr">
        <is>
          <t>Day 48</t>
        </is>
      </c>
      <c r="I224" s="10" t="inlineStr">
        <is>
          <t>☐ Not Started</t>
        </is>
      </c>
      <c r="J224" s="10" t="inlineStr">
        <is>
          <t>Day 52</t>
        </is>
      </c>
      <c r="K224" s="10" t="inlineStr">
        <is>
          <t>☐ Not Started</t>
        </is>
      </c>
      <c r="L224" s="10" t="inlineStr"/>
    </row>
    <row r="225">
      <c r="A225" s="9" t="inlineStr">
        <is>
          <t>Deep Learning</t>
        </is>
      </c>
      <c r="B225" s="9" t="inlineStr">
        <is>
          <t>Basics</t>
        </is>
      </c>
      <c r="C225" s="9" t="inlineStr">
        <is>
          <t>What is neural network</t>
        </is>
      </c>
      <c r="D225" s="10" t="inlineStr">
        <is>
          <t>Day 45</t>
        </is>
      </c>
      <c r="E225" s="10" t="inlineStr">
        <is>
          <t>30 min</t>
        </is>
      </c>
      <c r="F225" s="10" t="inlineStr">
        <is>
          <t>☐ Not Started</t>
        </is>
      </c>
      <c r="G225" s="10">
        <f>IF(F225="☑ Completed", "COMPLETED", "NOT STARTED")</f>
        <v/>
      </c>
      <c r="H225" s="10" t="inlineStr">
        <is>
          <t>Day 48</t>
        </is>
      </c>
      <c r="I225" s="10" t="inlineStr">
        <is>
          <t>☐ Not Started</t>
        </is>
      </c>
      <c r="J225" s="10" t="inlineStr">
        <is>
          <t>Day 52</t>
        </is>
      </c>
      <c r="K225" s="10" t="inlineStr">
        <is>
          <t>☐ Not Started</t>
        </is>
      </c>
      <c r="L225" s="10" t="inlineStr"/>
    </row>
    <row r="226">
      <c r="A226" s="9" t="inlineStr">
        <is>
          <t>Deep Learning</t>
        </is>
      </c>
      <c r="B226" s="9" t="inlineStr">
        <is>
          <t>Basics</t>
        </is>
      </c>
      <c r="C226" s="9" t="inlineStr">
        <is>
          <t>Neuron</t>
        </is>
      </c>
      <c r="D226" s="10" t="inlineStr">
        <is>
          <t>Day 45</t>
        </is>
      </c>
      <c r="E226" s="10" t="inlineStr">
        <is>
          <t>30 min</t>
        </is>
      </c>
      <c r="F226" s="10" t="inlineStr">
        <is>
          <t>☐ Not Started</t>
        </is>
      </c>
      <c r="G226" s="10">
        <f>IF(F226="☑ Completed", "COMPLETED", "NOT STARTED")</f>
        <v/>
      </c>
      <c r="H226" s="10" t="inlineStr">
        <is>
          <t>Day 48</t>
        </is>
      </c>
      <c r="I226" s="10" t="inlineStr">
        <is>
          <t>☐ Not Started</t>
        </is>
      </c>
      <c r="J226" s="10" t="inlineStr">
        <is>
          <t>Day 52</t>
        </is>
      </c>
      <c r="K226" s="10" t="inlineStr">
        <is>
          <t>☐ Not Started</t>
        </is>
      </c>
      <c r="L226" s="10" t="inlineStr"/>
    </row>
    <row r="227">
      <c r="A227" s="9" t="inlineStr">
        <is>
          <t>Deep Learning</t>
        </is>
      </c>
      <c r="B227" s="9" t="inlineStr">
        <is>
          <t>Basics</t>
        </is>
      </c>
      <c r="C227" s="9" t="inlineStr">
        <is>
          <t>Weights</t>
        </is>
      </c>
      <c r="D227" s="10" t="inlineStr">
        <is>
          <t>Day 46</t>
        </is>
      </c>
      <c r="E227" s="10" t="inlineStr">
        <is>
          <t>45 min</t>
        </is>
      </c>
      <c r="F227" s="10" t="inlineStr">
        <is>
          <t>☐ Not Started</t>
        </is>
      </c>
      <c r="G227" s="10">
        <f>IF(F227="☑ Completed", "COMPLETED", "NOT STARTED")</f>
        <v/>
      </c>
      <c r="H227" s="10" t="inlineStr">
        <is>
          <t>Day 49</t>
        </is>
      </c>
      <c r="I227" s="10" t="inlineStr">
        <is>
          <t>☐ Not Started</t>
        </is>
      </c>
      <c r="J227" s="10" t="inlineStr">
        <is>
          <t>Day 53</t>
        </is>
      </c>
      <c r="K227" s="10" t="inlineStr">
        <is>
          <t>☐ Not Started</t>
        </is>
      </c>
      <c r="L227" s="10" t="inlineStr"/>
    </row>
    <row r="228">
      <c r="A228" s="9" t="inlineStr">
        <is>
          <t>Deep Learning</t>
        </is>
      </c>
      <c r="B228" s="9" t="inlineStr">
        <is>
          <t>Basics</t>
        </is>
      </c>
      <c r="C228" s="9" t="inlineStr">
        <is>
          <t>Bias</t>
        </is>
      </c>
      <c r="D228" s="10" t="inlineStr">
        <is>
          <t>Day 46</t>
        </is>
      </c>
      <c r="E228" s="10" t="inlineStr">
        <is>
          <t>30 min</t>
        </is>
      </c>
      <c r="F228" s="10" t="inlineStr">
        <is>
          <t>☐ Not Started</t>
        </is>
      </c>
      <c r="G228" s="10">
        <f>IF(F228="☑ Completed", "COMPLETED", "NOT STARTED")</f>
        <v/>
      </c>
      <c r="H228" s="10" t="inlineStr">
        <is>
          <t>Day 49</t>
        </is>
      </c>
      <c r="I228" s="10" t="inlineStr">
        <is>
          <t>☐ Not Started</t>
        </is>
      </c>
      <c r="J228" s="10" t="inlineStr">
        <is>
          <t>Day 53</t>
        </is>
      </c>
      <c r="K228" s="10" t="inlineStr">
        <is>
          <t>☐ Not Started</t>
        </is>
      </c>
      <c r="L228" s="10" t="inlineStr"/>
    </row>
    <row r="229">
      <c r="A229" s="9" t="inlineStr">
        <is>
          <t>Deep Learning</t>
        </is>
      </c>
      <c r="B229" s="9" t="inlineStr">
        <is>
          <t>Basics</t>
        </is>
      </c>
      <c r="C229" s="9" t="inlineStr">
        <is>
          <t>Activation functions</t>
        </is>
      </c>
      <c r="D229" s="10" t="inlineStr">
        <is>
          <t>Day 46</t>
        </is>
      </c>
      <c r="E229" s="10" t="inlineStr">
        <is>
          <t>30 min</t>
        </is>
      </c>
      <c r="F229" s="10" t="inlineStr">
        <is>
          <t>☐ Not Started</t>
        </is>
      </c>
      <c r="G229" s="10">
        <f>IF(F229="☑ Completed", "COMPLETED", "NOT STARTED")</f>
        <v/>
      </c>
      <c r="H229" s="10" t="inlineStr">
        <is>
          <t>Day 49</t>
        </is>
      </c>
      <c r="I229" s="10" t="inlineStr">
        <is>
          <t>☐ Not Started</t>
        </is>
      </c>
      <c r="J229" s="10" t="inlineStr">
        <is>
          <t>Day 53</t>
        </is>
      </c>
      <c r="K229" s="10" t="inlineStr">
        <is>
          <t>☐ Not Started</t>
        </is>
      </c>
      <c r="L229" s="10" t="inlineStr"/>
    </row>
    <row r="230">
      <c r="A230" s="9" t="inlineStr">
        <is>
          <t>Deep Learning</t>
        </is>
      </c>
      <c r="B230" s="9" t="inlineStr">
        <is>
          <t>Basics</t>
        </is>
      </c>
      <c r="C230" s="9" t="inlineStr">
        <is>
          <t>Sigmoid</t>
        </is>
      </c>
      <c r="D230" s="10" t="inlineStr">
        <is>
          <t>Day 46</t>
        </is>
      </c>
      <c r="E230" s="10" t="inlineStr">
        <is>
          <t>30 min</t>
        </is>
      </c>
      <c r="F230" s="10" t="inlineStr">
        <is>
          <t>☐ Not Started</t>
        </is>
      </c>
      <c r="G230" s="10">
        <f>IF(F230="☑ Completed", "COMPLETED", "NOT STARTED")</f>
        <v/>
      </c>
      <c r="H230" s="10" t="inlineStr">
        <is>
          <t>Day 49</t>
        </is>
      </c>
      <c r="I230" s="10" t="inlineStr">
        <is>
          <t>☐ Not Started</t>
        </is>
      </c>
      <c r="J230" s="10" t="inlineStr">
        <is>
          <t>Day 53</t>
        </is>
      </c>
      <c r="K230" s="10" t="inlineStr">
        <is>
          <t>☐ Not Started</t>
        </is>
      </c>
      <c r="L230" s="10" t="inlineStr"/>
    </row>
    <row r="231">
      <c r="A231" s="9" t="inlineStr">
        <is>
          <t>Deep Learning</t>
        </is>
      </c>
      <c r="B231" s="9" t="inlineStr">
        <is>
          <t>Basics</t>
        </is>
      </c>
      <c r="C231" s="9" t="inlineStr">
        <is>
          <t>ReLU</t>
        </is>
      </c>
      <c r="D231" s="10" t="inlineStr">
        <is>
          <t>Day 46</t>
        </is>
      </c>
      <c r="E231" s="10" t="inlineStr">
        <is>
          <t>30 min</t>
        </is>
      </c>
      <c r="F231" s="10" t="inlineStr">
        <is>
          <t>☐ Not Started</t>
        </is>
      </c>
      <c r="G231" s="10">
        <f>IF(F231="☑ Completed", "COMPLETED", "NOT STARTED")</f>
        <v/>
      </c>
      <c r="H231" s="10" t="inlineStr">
        <is>
          <t>Day 49</t>
        </is>
      </c>
      <c r="I231" s="10" t="inlineStr">
        <is>
          <t>☐ Not Started</t>
        </is>
      </c>
      <c r="J231" s="10" t="inlineStr">
        <is>
          <t>Day 53</t>
        </is>
      </c>
      <c r="K231" s="10" t="inlineStr">
        <is>
          <t>☐ Not Started</t>
        </is>
      </c>
      <c r="L231" s="10" t="inlineStr"/>
    </row>
    <row r="232">
      <c r="A232" s="9" t="inlineStr">
        <is>
          <t>Deep Learning</t>
        </is>
      </c>
      <c r="B232" s="9" t="inlineStr">
        <is>
          <t>Basics</t>
        </is>
      </c>
      <c r="C232" s="9" t="inlineStr">
        <is>
          <t>Tanh</t>
        </is>
      </c>
      <c r="D232" s="10" t="inlineStr">
        <is>
          <t>Day 47</t>
        </is>
      </c>
      <c r="E232" s="10" t="inlineStr">
        <is>
          <t>45 min</t>
        </is>
      </c>
      <c r="F232" s="10" t="inlineStr">
        <is>
          <t>☐ Not Started</t>
        </is>
      </c>
      <c r="G232" s="10">
        <f>IF(F232="☑ Completed", "COMPLETED", "NOT STARTED")</f>
        <v/>
      </c>
      <c r="H232" s="10" t="inlineStr">
        <is>
          <t>Day 50</t>
        </is>
      </c>
      <c r="I232" s="10" t="inlineStr">
        <is>
          <t>☐ Not Started</t>
        </is>
      </c>
      <c r="J232" s="10" t="inlineStr">
        <is>
          <t>Day 54</t>
        </is>
      </c>
      <c r="K232" s="10" t="inlineStr">
        <is>
          <t>☐ Not Started</t>
        </is>
      </c>
      <c r="L232" s="10" t="inlineStr"/>
    </row>
    <row r="233">
      <c r="A233" s="9" t="inlineStr">
        <is>
          <t>Deep Learning</t>
        </is>
      </c>
      <c r="B233" s="9" t="inlineStr">
        <is>
          <t>Basics</t>
        </is>
      </c>
      <c r="C233" s="9" t="inlineStr">
        <is>
          <t>Softmax</t>
        </is>
      </c>
      <c r="D233" s="10" t="inlineStr">
        <is>
          <t>Day 47</t>
        </is>
      </c>
      <c r="E233" s="10" t="inlineStr">
        <is>
          <t>30 min</t>
        </is>
      </c>
      <c r="F233" s="10" t="inlineStr">
        <is>
          <t>☐ Not Started</t>
        </is>
      </c>
      <c r="G233" s="10">
        <f>IF(F233="☑ Completed", "COMPLETED", "NOT STARTED")</f>
        <v/>
      </c>
      <c r="H233" s="10" t="inlineStr">
        <is>
          <t>Day 50</t>
        </is>
      </c>
      <c r="I233" s="10" t="inlineStr">
        <is>
          <t>☐ Not Started</t>
        </is>
      </c>
      <c r="J233" s="10" t="inlineStr">
        <is>
          <t>Day 54</t>
        </is>
      </c>
      <c r="K233" s="10" t="inlineStr">
        <is>
          <t>☐ Not Started</t>
        </is>
      </c>
      <c r="L233" s="10" t="inlineStr"/>
    </row>
    <row r="234">
      <c r="A234" s="9" t="inlineStr">
        <is>
          <t>Deep Learning</t>
        </is>
      </c>
      <c r="B234" s="9" t="inlineStr">
        <is>
          <t>Basics</t>
        </is>
      </c>
      <c r="C234" s="9" t="inlineStr">
        <is>
          <t>Forward propagation</t>
        </is>
      </c>
      <c r="D234" s="10" t="inlineStr">
        <is>
          <t>Day 47</t>
        </is>
      </c>
      <c r="E234" s="10" t="inlineStr">
        <is>
          <t>30 min</t>
        </is>
      </c>
      <c r="F234" s="10" t="inlineStr">
        <is>
          <t>☐ Not Started</t>
        </is>
      </c>
      <c r="G234" s="10">
        <f>IF(F234="☑ Completed", "COMPLETED", "NOT STARTED")</f>
        <v/>
      </c>
      <c r="H234" s="10" t="inlineStr">
        <is>
          <t>Day 50</t>
        </is>
      </c>
      <c r="I234" s="10" t="inlineStr">
        <is>
          <t>☐ Not Started</t>
        </is>
      </c>
      <c r="J234" s="10" t="inlineStr">
        <is>
          <t>Day 54</t>
        </is>
      </c>
      <c r="K234" s="10" t="inlineStr">
        <is>
          <t>☐ Not Started</t>
        </is>
      </c>
      <c r="L234" s="10" t="inlineStr"/>
    </row>
    <row r="235">
      <c r="A235" s="9" t="inlineStr">
        <is>
          <t>Deep Learning</t>
        </is>
      </c>
      <c r="B235" s="9" t="inlineStr">
        <is>
          <t>Basics</t>
        </is>
      </c>
      <c r="C235" s="9" t="inlineStr">
        <is>
          <t>Loss function</t>
        </is>
      </c>
      <c r="D235" s="10" t="inlineStr">
        <is>
          <t>Day 47</t>
        </is>
      </c>
      <c r="E235" s="10" t="inlineStr">
        <is>
          <t>30 min</t>
        </is>
      </c>
      <c r="F235" s="10" t="inlineStr">
        <is>
          <t>☐ Not Started</t>
        </is>
      </c>
      <c r="G235" s="10">
        <f>IF(F235="☑ Completed", "COMPLETED", "NOT STARTED")</f>
        <v/>
      </c>
      <c r="H235" s="10" t="inlineStr">
        <is>
          <t>Day 50</t>
        </is>
      </c>
      <c r="I235" s="10" t="inlineStr">
        <is>
          <t>☐ Not Started</t>
        </is>
      </c>
      <c r="J235" s="10" t="inlineStr">
        <is>
          <t>Day 54</t>
        </is>
      </c>
      <c r="K235" s="10" t="inlineStr">
        <is>
          <t>☐ Not Started</t>
        </is>
      </c>
      <c r="L235" s="10" t="inlineStr"/>
    </row>
    <row r="236">
      <c r="A236" s="9" t="inlineStr">
        <is>
          <t>Deep Learning</t>
        </is>
      </c>
      <c r="B236" s="9" t="inlineStr">
        <is>
          <t>Basics</t>
        </is>
      </c>
      <c r="C236" s="9" t="inlineStr">
        <is>
          <t>Backpropagation</t>
        </is>
      </c>
      <c r="D236" s="10" t="inlineStr">
        <is>
          <t>Day 47</t>
        </is>
      </c>
      <c r="E236" s="10" t="inlineStr">
        <is>
          <t>30 min</t>
        </is>
      </c>
      <c r="F236" s="10" t="inlineStr">
        <is>
          <t>☐ Not Started</t>
        </is>
      </c>
      <c r="G236" s="10">
        <f>IF(F236="☑ Completed", "COMPLETED", "NOT STARTED")</f>
        <v/>
      </c>
      <c r="H236" s="10" t="inlineStr">
        <is>
          <t>Day 50</t>
        </is>
      </c>
      <c r="I236" s="10" t="inlineStr">
        <is>
          <t>☐ Not Started</t>
        </is>
      </c>
      <c r="J236" s="10" t="inlineStr">
        <is>
          <t>Day 54</t>
        </is>
      </c>
      <c r="K236" s="10" t="inlineStr">
        <is>
          <t>☐ Not Started</t>
        </is>
      </c>
      <c r="L236" s="10" t="inlineStr"/>
    </row>
    <row r="237">
      <c r="A237" s="9" t="inlineStr">
        <is>
          <t>Deep Learning</t>
        </is>
      </c>
      <c r="B237" s="9" t="inlineStr">
        <is>
          <t>Basics</t>
        </is>
      </c>
      <c r="C237" s="9" t="inlineStr">
        <is>
          <t>Gradient descent</t>
        </is>
      </c>
      <c r="D237" s="10" t="inlineStr">
        <is>
          <t>Day 48</t>
        </is>
      </c>
      <c r="E237" s="10" t="inlineStr">
        <is>
          <t>45 min</t>
        </is>
      </c>
      <c r="F237" s="10" t="inlineStr">
        <is>
          <t>☐ Not Started</t>
        </is>
      </c>
      <c r="G237" s="10">
        <f>IF(F237="☑ Completed", "COMPLETED", "NOT STARTED")</f>
        <v/>
      </c>
      <c r="H237" s="10" t="inlineStr">
        <is>
          <t>Day 51</t>
        </is>
      </c>
      <c r="I237" s="10" t="inlineStr">
        <is>
          <t>☐ Not Started</t>
        </is>
      </c>
      <c r="J237" s="10" t="inlineStr">
        <is>
          <t>Day 55</t>
        </is>
      </c>
      <c r="K237" s="10" t="inlineStr">
        <is>
          <t>☐ Not Started</t>
        </is>
      </c>
      <c r="L237" s="10" t="inlineStr"/>
    </row>
    <row r="238">
      <c r="A238" s="9" t="inlineStr">
        <is>
          <t>Deep Learning</t>
        </is>
      </c>
      <c r="B238" s="9" t="inlineStr">
        <is>
          <t>Basics</t>
        </is>
      </c>
      <c r="C238" s="9" t="inlineStr">
        <is>
          <t>Learning rate</t>
        </is>
      </c>
      <c r="D238" s="10" t="inlineStr">
        <is>
          <t>Day 48</t>
        </is>
      </c>
      <c r="E238" s="10" t="inlineStr">
        <is>
          <t>30 min</t>
        </is>
      </c>
      <c r="F238" s="10" t="inlineStr">
        <is>
          <t>☐ Not Started</t>
        </is>
      </c>
      <c r="G238" s="10">
        <f>IF(F238="☑ Completed", "COMPLETED", "NOT STARTED")</f>
        <v/>
      </c>
      <c r="H238" s="10" t="inlineStr">
        <is>
          <t>Day 51</t>
        </is>
      </c>
      <c r="I238" s="10" t="inlineStr">
        <is>
          <t>☐ Not Started</t>
        </is>
      </c>
      <c r="J238" s="10" t="inlineStr">
        <is>
          <t>Day 55</t>
        </is>
      </c>
      <c r="K238" s="10" t="inlineStr">
        <is>
          <t>☐ Not Started</t>
        </is>
      </c>
      <c r="L238" s="10" t="inlineStr"/>
    </row>
    <row r="239">
      <c r="A239" s="9" t="inlineStr">
        <is>
          <t>Deep Learning</t>
        </is>
      </c>
      <c r="B239" s="9" t="inlineStr">
        <is>
          <t>Basics</t>
        </is>
      </c>
      <c r="C239" s="9" t="inlineStr">
        <is>
          <t>Epoch</t>
        </is>
      </c>
      <c r="D239" s="10" t="inlineStr">
        <is>
          <t>Day 48</t>
        </is>
      </c>
      <c r="E239" s="10" t="inlineStr">
        <is>
          <t>30 min</t>
        </is>
      </c>
      <c r="F239" s="10" t="inlineStr">
        <is>
          <t>☐ Not Started</t>
        </is>
      </c>
      <c r="G239" s="10">
        <f>IF(F239="☑ Completed", "COMPLETED", "NOT STARTED")</f>
        <v/>
      </c>
      <c r="H239" s="10" t="inlineStr">
        <is>
          <t>Day 51</t>
        </is>
      </c>
      <c r="I239" s="10" t="inlineStr">
        <is>
          <t>☐ Not Started</t>
        </is>
      </c>
      <c r="J239" s="10" t="inlineStr">
        <is>
          <t>Day 55</t>
        </is>
      </c>
      <c r="K239" s="10" t="inlineStr">
        <is>
          <t>☐ Not Started</t>
        </is>
      </c>
      <c r="L239" s="10" t="inlineStr"/>
    </row>
    <row r="240">
      <c r="A240" s="9" t="inlineStr">
        <is>
          <t>Deep Learning</t>
        </is>
      </c>
      <c r="B240" s="9" t="inlineStr">
        <is>
          <t>Basics</t>
        </is>
      </c>
      <c r="C240" s="9" t="inlineStr">
        <is>
          <t>Batch</t>
        </is>
      </c>
      <c r="D240" s="10" t="inlineStr">
        <is>
          <t>Day 48</t>
        </is>
      </c>
      <c r="E240" s="10" t="inlineStr">
        <is>
          <t>30 min</t>
        </is>
      </c>
      <c r="F240" s="10" t="inlineStr">
        <is>
          <t>☐ Not Started</t>
        </is>
      </c>
      <c r="G240" s="10">
        <f>IF(F240="☑ Completed", "COMPLETED", "NOT STARTED")</f>
        <v/>
      </c>
      <c r="H240" s="10" t="inlineStr">
        <is>
          <t>Day 51</t>
        </is>
      </c>
      <c r="I240" s="10" t="inlineStr">
        <is>
          <t>☐ Not Started</t>
        </is>
      </c>
      <c r="J240" s="10" t="inlineStr">
        <is>
          <t>Day 55</t>
        </is>
      </c>
      <c r="K240" s="10" t="inlineStr">
        <is>
          <t>☐ Not Started</t>
        </is>
      </c>
      <c r="L240" s="10" t="inlineStr"/>
    </row>
    <row r="241">
      <c r="A241" s="9" t="inlineStr">
        <is>
          <t>Deep Learning</t>
        </is>
      </c>
      <c r="B241" s="9" t="inlineStr">
        <is>
          <t>Basics</t>
        </is>
      </c>
      <c r="C241" s="9" t="inlineStr">
        <is>
          <t>Batch size</t>
        </is>
      </c>
      <c r="D241" s="10" t="inlineStr">
        <is>
          <t>Day 48</t>
        </is>
      </c>
      <c r="E241" s="10" t="inlineStr">
        <is>
          <t>30 min</t>
        </is>
      </c>
      <c r="F241" s="10" t="inlineStr">
        <is>
          <t>☐ Not Started</t>
        </is>
      </c>
      <c r="G241" s="10">
        <f>IF(F241="☑ Completed", "COMPLETED", "NOT STARTED")</f>
        <v/>
      </c>
      <c r="H241" s="10" t="inlineStr">
        <is>
          <t>Day 51</t>
        </is>
      </c>
      <c r="I241" s="10" t="inlineStr">
        <is>
          <t>☐ Not Started</t>
        </is>
      </c>
      <c r="J241" s="10" t="inlineStr">
        <is>
          <t>Day 55</t>
        </is>
      </c>
      <c r="K241" s="10" t="inlineStr">
        <is>
          <t>☐ Not Started</t>
        </is>
      </c>
      <c r="L241" s="10" t="inlineStr"/>
    </row>
    <row r="242">
      <c r="A242" s="9" t="inlineStr">
        <is>
          <t>Deep Learning</t>
        </is>
      </c>
      <c r="B242" s="9" t="inlineStr">
        <is>
          <t>Basics</t>
        </is>
      </c>
      <c r="C242" s="9" t="inlineStr">
        <is>
          <t>Optimizer</t>
        </is>
      </c>
      <c r="D242" s="10" t="inlineStr">
        <is>
          <t>Day 49</t>
        </is>
      </c>
      <c r="E242" s="10" t="inlineStr">
        <is>
          <t>45 min</t>
        </is>
      </c>
      <c r="F242" s="10" t="inlineStr">
        <is>
          <t>☐ Not Started</t>
        </is>
      </c>
      <c r="G242" s="10">
        <f>IF(F242="☑ Completed", "COMPLETED", "NOT STARTED")</f>
        <v/>
      </c>
      <c r="H242" s="10" t="inlineStr">
        <is>
          <t>Day 52</t>
        </is>
      </c>
      <c r="I242" s="10" t="inlineStr">
        <is>
          <t>☐ Not Started</t>
        </is>
      </c>
      <c r="J242" s="10" t="inlineStr">
        <is>
          <t>Day 56</t>
        </is>
      </c>
      <c r="K242" s="10" t="inlineStr">
        <is>
          <t>☐ Not Started</t>
        </is>
      </c>
      <c r="L242" s="10" t="inlineStr"/>
    </row>
    <row r="243">
      <c r="A243" s="9" t="inlineStr">
        <is>
          <t>Deep Learning</t>
        </is>
      </c>
      <c r="B243" s="9" t="inlineStr">
        <is>
          <t>Basics</t>
        </is>
      </c>
      <c r="C243" s="9" t="inlineStr">
        <is>
          <t>SGD</t>
        </is>
      </c>
      <c r="D243" s="10" t="inlineStr">
        <is>
          <t>Day 49</t>
        </is>
      </c>
      <c r="E243" s="10" t="inlineStr">
        <is>
          <t>30 min</t>
        </is>
      </c>
      <c r="F243" s="10" t="inlineStr">
        <is>
          <t>☐ Not Started</t>
        </is>
      </c>
      <c r="G243" s="10">
        <f>IF(F243="☑ Completed", "COMPLETED", "NOT STARTED")</f>
        <v/>
      </c>
      <c r="H243" s="10" t="inlineStr">
        <is>
          <t>Day 52</t>
        </is>
      </c>
      <c r="I243" s="10" t="inlineStr">
        <is>
          <t>☐ Not Started</t>
        </is>
      </c>
      <c r="J243" s="10" t="inlineStr">
        <is>
          <t>Day 56</t>
        </is>
      </c>
      <c r="K243" s="10" t="inlineStr">
        <is>
          <t>☐ Not Started</t>
        </is>
      </c>
      <c r="L243" s="10" t="inlineStr"/>
    </row>
    <row r="244">
      <c r="A244" s="9" t="inlineStr">
        <is>
          <t>Deep Learning</t>
        </is>
      </c>
      <c r="B244" s="9" t="inlineStr">
        <is>
          <t>Basics</t>
        </is>
      </c>
      <c r="C244" s="9" t="inlineStr">
        <is>
          <t>Adam</t>
        </is>
      </c>
      <c r="D244" s="10" t="inlineStr">
        <is>
          <t>Day 49</t>
        </is>
      </c>
      <c r="E244" s="10" t="inlineStr">
        <is>
          <t>30 min</t>
        </is>
      </c>
      <c r="F244" s="10" t="inlineStr">
        <is>
          <t>☐ Not Started</t>
        </is>
      </c>
      <c r="G244" s="10">
        <f>IF(F244="☑ Completed", "COMPLETED", "NOT STARTED")</f>
        <v/>
      </c>
      <c r="H244" s="10" t="inlineStr">
        <is>
          <t>Day 52</t>
        </is>
      </c>
      <c r="I244" s="10" t="inlineStr">
        <is>
          <t>☐ Not Started</t>
        </is>
      </c>
      <c r="J244" s="10" t="inlineStr">
        <is>
          <t>Day 56</t>
        </is>
      </c>
      <c r="K244" s="10" t="inlineStr">
        <is>
          <t>☐ Not Started</t>
        </is>
      </c>
      <c r="L244" s="10" t="inlineStr"/>
    </row>
    <row r="245">
      <c r="A245" s="9" t="inlineStr">
        <is>
          <t>Deep Learning</t>
        </is>
      </c>
      <c r="B245" s="9" t="inlineStr">
        <is>
          <t>Basics</t>
        </is>
      </c>
      <c r="C245" s="9" t="inlineStr">
        <is>
          <t>Dropout</t>
        </is>
      </c>
      <c r="D245" s="10" t="inlineStr">
        <is>
          <t>Day 49</t>
        </is>
      </c>
      <c r="E245" s="10" t="inlineStr">
        <is>
          <t>30 min</t>
        </is>
      </c>
      <c r="F245" s="10" t="inlineStr">
        <is>
          <t>☐ Not Started</t>
        </is>
      </c>
      <c r="G245" s="10">
        <f>IF(F245="☑ Completed", "COMPLETED", "NOT STARTED")</f>
        <v/>
      </c>
      <c r="H245" s="10" t="inlineStr">
        <is>
          <t>Day 52</t>
        </is>
      </c>
      <c r="I245" s="10" t="inlineStr">
        <is>
          <t>☐ Not Started</t>
        </is>
      </c>
      <c r="J245" s="10" t="inlineStr">
        <is>
          <t>Day 56</t>
        </is>
      </c>
      <c r="K245" s="10" t="inlineStr">
        <is>
          <t>☐ Not Started</t>
        </is>
      </c>
      <c r="L245" s="10" t="inlineStr"/>
    </row>
    <row r="246">
      <c r="A246" s="9" t="inlineStr">
        <is>
          <t>Deep Learning</t>
        </is>
      </c>
      <c r="B246" s="9" t="inlineStr">
        <is>
          <t>Basics</t>
        </is>
      </c>
      <c r="C246" s="9" t="inlineStr">
        <is>
          <t>Batch normalization</t>
        </is>
      </c>
      <c r="D246" s="10" t="inlineStr">
        <is>
          <t>Day 49</t>
        </is>
      </c>
      <c r="E246" s="10" t="inlineStr">
        <is>
          <t>30 min</t>
        </is>
      </c>
      <c r="F246" s="10" t="inlineStr">
        <is>
          <t>☐ Not Started</t>
        </is>
      </c>
      <c r="G246" s="10">
        <f>IF(F246="☑ Completed", "COMPLETED", "NOT STARTED")</f>
        <v/>
      </c>
      <c r="H246" s="10" t="inlineStr">
        <is>
          <t>Day 52</t>
        </is>
      </c>
      <c r="I246" s="10" t="inlineStr">
        <is>
          <t>☐ Not Started</t>
        </is>
      </c>
      <c r="J246" s="10" t="inlineStr">
        <is>
          <t>Day 56</t>
        </is>
      </c>
      <c r="K246" s="10" t="inlineStr">
        <is>
          <t>☐ Not Started</t>
        </is>
      </c>
      <c r="L246" s="10" t="inlineStr"/>
    </row>
    <row r="247">
      <c r="A247" s="9" t="inlineStr">
        <is>
          <t>Deep Learning</t>
        </is>
      </c>
      <c r="B247" s="9" t="inlineStr">
        <is>
          <t>Basics</t>
        </is>
      </c>
      <c r="C247" s="9" t="inlineStr">
        <is>
          <t>Early stopping</t>
        </is>
      </c>
      <c r="D247" s="10" t="inlineStr">
        <is>
          <t>Day 50</t>
        </is>
      </c>
      <c r="E247" s="10" t="inlineStr">
        <is>
          <t>45 min</t>
        </is>
      </c>
      <c r="F247" s="10" t="inlineStr">
        <is>
          <t>☐ Not Started</t>
        </is>
      </c>
      <c r="G247" s="10">
        <f>IF(F247="☑ Completed", "COMPLETED", "NOT STARTED")</f>
        <v/>
      </c>
      <c r="H247" s="10" t="inlineStr">
        <is>
          <t>Day 53</t>
        </is>
      </c>
      <c r="I247" s="10" t="inlineStr">
        <is>
          <t>☐ Not Started</t>
        </is>
      </c>
      <c r="J247" s="10" t="inlineStr">
        <is>
          <t>Day 57</t>
        </is>
      </c>
      <c r="K247" s="10" t="inlineStr">
        <is>
          <t>☐ Not Started</t>
        </is>
      </c>
      <c r="L247" s="10" t="inlineStr"/>
    </row>
    <row r="248">
      <c r="A248" s="9" t="inlineStr">
        <is>
          <t>PyTorch</t>
        </is>
      </c>
      <c r="B248" s="9" t="inlineStr">
        <is>
          <t>Basics</t>
        </is>
      </c>
      <c r="C248" s="9" t="inlineStr">
        <is>
          <t>Tensor</t>
        </is>
      </c>
      <c r="D248" s="10" t="inlineStr">
        <is>
          <t>Day 50</t>
        </is>
      </c>
      <c r="E248" s="10" t="inlineStr">
        <is>
          <t>30 min</t>
        </is>
      </c>
      <c r="F248" s="10" t="inlineStr">
        <is>
          <t>☐ Not Started</t>
        </is>
      </c>
      <c r="G248" s="10">
        <f>IF(F248="☑ Completed", "COMPLETED", "NOT STARTED")</f>
        <v/>
      </c>
      <c r="H248" s="10" t="inlineStr">
        <is>
          <t>Day 53</t>
        </is>
      </c>
      <c r="I248" s="10" t="inlineStr">
        <is>
          <t>☐ Not Started</t>
        </is>
      </c>
      <c r="J248" s="10" t="inlineStr">
        <is>
          <t>Day 57</t>
        </is>
      </c>
      <c r="K248" s="10" t="inlineStr">
        <is>
          <t>☐ Not Started</t>
        </is>
      </c>
      <c r="L248" s="10" t="inlineStr"/>
    </row>
    <row r="249">
      <c r="A249" s="9" t="inlineStr">
        <is>
          <t>PyTorch</t>
        </is>
      </c>
      <c r="B249" s="9" t="inlineStr">
        <is>
          <t>Basics</t>
        </is>
      </c>
      <c r="C249" s="9" t="inlineStr">
        <is>
          <t>Tensor operations</t>
        </is>
      </c>
      <c r="D249" s="10" t="inlineStr">
        <is>
          <t>Day 50</t>
        </is>
      </c>
      <c r="E249" s="10" t="inlineStr">
        <is>
          <t>30 min</t>
        </is>
      </c>
      <c r="F249" s="10" t="inlineStr">
        <is>
          <t>☐ Not Started</t>
        </is>
      </c>
      <c r="G249" s="10">
        <f>IF(F249="☑ Completed", "COMPLETED", "NOT STARTED")</f>
        <v/>
      </c>
      <c r="H249" s="10" t="inlineStr">
        <is>
          <t>Day 53</t>
        </is>
      </c>
      <c r="I249" s="10" t="inlineStr">
        <is>
          <t>☐ Not Started</t>
        </is>
      </c>
      <c r="J249" s="10" t="inlineStr">
        <is>
          <t>Day 57</t>
        </is>
      </c>
      <c r="K249" s="10" t="inlineStr">
        <is>
          <t>☐ Not Started</t>
        </is>
      </c>
      <c r="L249" s="10" t="inlineStr"/>
    </row>
    <row r="250">
      <c r="A250" s="9" t="inlineStr">
        <is>
          <t>PyTorch</t>
        </is>
      </c>
      <c r="B250" s="9" t="inlineStr">
        <is>
          <t>Basics</t>
        </is>
      </c>
      <c r="C250" s="9" t="inlineStr">
        <is>
          <t>Dataset</t>
        </is>
      </c>
      <c r="D250" s="10" t="inlineStr">
        <is>
          <t>Day 50</t>
        </is>
      </c>
      <c r="E250" s="10" t="inlineStr">
        <is>
          <t>30 min</t>
        </is>
      </c>
      <c r="F250" s="10" t="inlineStr">
        <is>
          <t>☐ Not Started</t>
        </is>
      </c>
      <c r="G250" s="10">
        <f>IF(F250="☑ Completed", "COMPLETED", "NOT STARTED")</f>
        <v/>
      </c>
      <c r="H250" s="10" t="inlineStr">
        <is>
          <t>Day 53</t>
        </is>
      </c>
      <c r="I250" s="10" t="inlineStr">
        <is>
          <t>☐ Not Started</t>
        </is>
      </c>
      <c r="J250" s="10" t="inlineStr">
        <is>
          <t>Day 57</t>
        </is>
      </c>
      <c r="K250" s="10" t="inlineStr">
        <is>
          <t>☐ Not Started</t>
        </is>
      </c>
      <c r="L250" s="10" t="inlineStr"/>
    </row>
    <row r="251">
      <c r="A251" s="9" t="inlineStr">
        <is>
          <t>PyTorch</t>
        </is>
      </c>
      <c r="B251" s="9" t="inlineStr">
        <is>
          <t>Basics</t>
        </is>
      </c>
      <c r="C251" s="9" t="inlineStr">
        <is>
          <t>DataLoader</t>
        </is>
      </c>
      <c r="D251" s="10" t="inlineStr">
        <is>
          <t>Day 50</t>
        </is>
      </c>
      <c r="E251" s="10" t="inlineStr">
        <is>
          <t>30 min</t>
        </is>
      </c>
      <c r="F251" s="10" t="inlineStr">
        <is>
          <t>☐ Not Started</t>
        </is>
      </c>
      <c r="G251" s="10">
        <f>IF(F251="☑ Completed", "COMPLETED", "NOT STARTED")</f>
        <v/>
      </c>
      <c r="H251" s="10" t="inlineStr">
        <is>
          <t>Day 53</t>
        </is>
      </c>
      <c r="I251" s="10" t="inlineStr">
        <is>
          <t>☐ Not Started</t>
        </is>
      </c>
      <c r="J251" s="10" t="inlineStr">
        <is>
          <t>Day 57</t>
        </is>
      </c>
      <c r="K251" s="10" t="inlineStr">
        <is>
          <t>☐ Not Started</t>
        </is>
      </c>
      <c r="L251" s="10" t="inlineStr"/>
    </row>
    <row r="252">
      <c r="A252" s="9" t="inlineStr">
        <is>
          <t>PyTorch</t>
        </is>
      </c>
      <c r="B252" s="9" t="inlineStr">
        <is>
          <t>Basics</t>
        </is>
      </c>
      <c r="C252" s="9" t="inlineStr">
        <is>
          <t>Model</t>
        </is>
      </c>
      <c r="D252" s="10" t="inlineStr">
        <is>
          <t>Day 51</t>
        </is>
      </c>
      <c r="E252" s="10" t="inlineStr">
        <is>
          <t>45 min</t>
        </is>
      </c>
      <c r="F252" s="10" t="inlineStr">
        <is>
          <t>☐ Not Started</t>
        </is>
      </c>
      <c r="G252" s="10">
        <f>IF(F252="☑ Completed", "COMPLETED", "NOT STARTED")</f>
        <v/>
      </c>
      <c r="H252" s="10" t="inlineStr">
        <is>
          <t>Day 54</t>
        </is>
      </c>
      <c r="I252" s="10" t="inlineStr">
        <is>
          <t>☐ Not Started</t>
        </is>
      </c>
      <c r="J252" s="10" t="inlineStr">
        <is>
          <t>Day 58</t>
        </is>
      </c>
      <c r="K252" s="10" t="inlineStr">
        <is>
          <t>☐ Not Started</t>
        </is>
      </c>
      <c r="L252" s="10" t="inlineStr"/>
    </row>
    <row r="253">
      <c r="A253" s="9" t="inlineStr">
        <is>
          <t>PyTorch</t>
        </is>
      </c>
      <c r="B253" s="9" t="inlineStr">
        <is>
          <t>Basics</t>
        </is>
      </c>
      <c r="C253" s="9" t="inlineStr">
        <is>
          <t>nn.Module</t>
        </is>
      </c>
      <c r="D253" s="10" t="inlineStr">
        <is>
          <t>Day 51</t>
        </is>
      </c>
      <c r="E253" s="10" t="inlineStr">
        <is>
          <t>30 min</t>
        </is>
      </c>
      <c r="F253" s="10" t="inlineStr">
        <is>
          <t>☐ Not Started</t>
        </is>
      </c>
      <c r="G253" s="10">
        <f>IF(F253="☑ Completed", "COMPLETED", "NOT STARTED")</f>
        <v/>
      </c>
      <c r="H253" s="10" t="inlineStr">
        <is>
          <t>Day 54</t>
        </is>
      </c>
      <c r="I253" s="10" t="inlineStr">
        <is>
          <t>☐ Not Started</t>
        </is>
      </c>
      <c r="J253" s="10" t="inlineStr">
        <is>
          <t>Day 58</t>
        </is>
      </c>
      <c r="K253" s="10" t="inlineStr">
        <is>
          <t>☐ Not Started</t>
        </is>
      </c>
      <c r="L253" s="10" t="inlineStr"/>
    </row>
    <row r="254">
      <c r="A254" s="9" t="inlineStr">
        <is>
          <t>PyTorch</t>
        </is>
      </c>
      <c r="B254" s="9" t="inlineStr">
        <is>
          <t>Basics</t>
        </is>
      </c>
      <c r="C254" s="9" t="inlineStr">
        <is>
          <t>Forward method</t>
        </is>
      </c>
      <c r="D254" s="10" t="inlineStr">
        <is>
          <t>Day 51</t>
        </is>
      </c>
      <c r="E254" s="10" t="inlineStr">
        <is>
          <t>30 min</t>
        </is>
      </c>
      <c r="F254" s="10" t="inlineStr">
        <is>
          <t>☐ Not Started</t>
        </is>
      </c>
      <c r="G254" s="10">
        <f>IF(F254="☑ Completed", "COMPLETED", "NOT STARTED")</f>
        <v/>
      </c>
      <c r="H254" s="10" t="inlineStr">
        <is>
          <t>Day 54</t>
        </is>
      </c>
      <c r="I254" s="10" t="inlineStr">
        <is>
          <t>☐ Not Started</t>
        </is>
      </c>
      <c r="J254" s="10" t="inlineStr">
        <is>
          <t>Day 58</t>
        </is>
      </c>
      <c r="K254" s="10" t="inlineStr">
        <is>
          <t>☐ Not Started</t>
        </is>
      </c>
      <c r="L254" s="10" t="inlineStr"/>
    </row>
    <row r="255">
      <c r="A255" s="9" t="inlineStr">
        <is>
          <t>PyTorch</t>
        </is>
      </c>
      <c r="B255" s="9" t="inlineStr">
        <is>
          <t>Basics</t>
        </is>
      </c>
      <c r="C255" s="9" t="inlineStr">
        <is>
          <t>Loss</t>
        </is>
      </c>
      <c r="D255" s="10" t="inlineStr">
        <is>
          <t>Day 51</t>
        </is>
      </c>
      <c r="E255" s="10" t="inlineStr">
        <is>
          <t>30 min</t>
        </is>
      </c>
      <c r="F255" s="10" t="inlineStr">
        <is>
          <t>☐ Not Started</t>
        </is>
      </c>
      <c r="G255" s="10">
        <f>IF(F255="☑ Completed", "COMPLETED", "NOT STARTED")</f>
        <v/>
      </c>
      <c r="H255" s="10" t="inlineStr">
        <is>
          <t>Day 54</t>
        </is>
      </c>
      <c r="I255" s="10" t="inlineStr">
        <is>
          <t>☐ Not Started</t>
        </is>
      </c>
      <c r="J255" s="10" t="inlineStr">
        <is>
          <t>Day 58</t>
        </is>
      </c>
      <c r="K255" s="10" t="inlineStr">
        <is>
          <t>☐ Not Started</t>
        </is>
      </c>
      <c r="L255" s="10" t="inlineStr"/>
    </row>
    <row r="256">
      <c r="A256" s="9" t="inlineStr">
        <is>
          <t>PyTorch</t>
        </is>
      </c>
      <c r="B256" s="9" t="inlineStr">
        <is>
          <t>Basics</t>
        </is>
      </c>
      <c r="C256" s="9" t="inlineStr">
        <is>
          <t>Optimizer</t>
        </is>
      </c>
      <c r="D256" s="10" t="inlineStr">
        <is>
          <t>Day 51</t>
        </is>
      </c>
      <c r="E256" s="10" t="inlineStr">
        <is>
          <t>30 min</t>
        </is>
      </c>
      <c r="F256" s="10" t="inlineStr">
        <is>
          <t>☐ Not Started</t>
        </is>
      </c>
      <c r="G256" s="10">
        <f>IF(F256="☑ Completed", "COMPLETED", "NOT STARTED")</f>
        <v/>
      </c>
      <c r="H256" s="10" t="inlineStr">
        <is>
          <t>Day 54</t>
        </is>
      </c>
      <c r="I256" s="10" t="inlineStr">
        <is>
          <t>☐ Not Started</t>
        </is>
      </c>
      <c r="J256" s="10" t="inlineStr">
        <is>
          <t>Day 58</t>
        </is>
      </c>
      <c r="K256" s="10" t="inlineStr">
        <is>
          <t>☐ Not Started</t>
        </is>
      </c>
      <c r="L256" s="10" t="inlineStr"/>
    </row>
    <row r="257">
      <c r="A257" s="9" t="inlineStr">
        <is>
          <t>PyTorch</t>
        </is>
      </c>
      <c r="B257" s="9" t="inlineStr">
        <is>
          <t>Basics</t>
        </is>
      </c>
      <c r="C257" s="9" t="inlineStr">
        <is>
          <t>Training loop</t>
        </is>
      </c>
      <c r="D257" s="10" t="inlineStr">
        <is>
          <t>Day 52</t>
        </is>
      </c>
      <c r="E257" s="10" t="inlineStr">
        <is>
          <t>45 min</t>
        </is>
      </c>
      <c r="F257" s="10" t="inlineStr">
        <is>
          <t>☐ Not Started</t>
        </is>
      </c>
      <c r="G257" s="10">
        <f>IF(F257="☑ Completed", "COMPLETED", "NOT STARTED")</f>
        <v/>
      </c>
      <c r="H257" s="10" t="inlineStr">
        <is>
          <t>Day 55</t>
        </is>
      </c>
      <c r="I257" s="10" t="inlineStr">
        <is>
          <t>☐ Not Started</t>
        </is>
      </c>
      <c r="J257" s="10" t="inlineStr">
        <is>
          <t>Day 59</t>
        </is>
      </c>
      <c r="K257" s="10" t="inlineStr">
        <is>
          <t>☐ Not Started</t>
        </is>
      </c>
      <c r="L257" s="10" t="inlineStr"/>
    </row>
    <row r="258">
      <c r="A258" s="9" t="inlineStr">
        <is>
          <t>PyTorch</t>
        </is>
      </c>
      <c r="B258" s="9" t="inlineStr">
        <is>
          <t>Basics</t>
        </is>
      </c>
      <c r="C258" s="9" t="inlineStr">
        <is>
          <t>Validation loop</t>
        </is>
      </c>
      <c r="D258" s="10" t="inlineStr">
        <is>
          <t>Day 52</t>
        </is>
      </c>
      <c r="E258" s="10" t="inlineStr">
        <is>
          <t>30 min</t>
        </is>
      </c>
      <c r="F258" s="10" t="inlineStr">
        <is>
          <t>☐ Not Started</t>
        </is>
      </c>
      <c r="G258" s="10">
        <f>IF(F258="☑ Completed", "COMPLETED", "NOT STARTED")</f>
        <v/>
      </c>
      <c r="H258" s="10" t="inlineStr">
        <is>
          <t>Day 55</t>
        </is>
      </c>
      <c r="I258" s="10" t="inlineStr">
        <is>
          <t>☐ Not Started</t>
        </is>
      </c>
      <c r="J258" s="10" t="inlineStr">
        <is>
          <t>Day 59</t>
        </is>
      </c>
      <c r="K258" s="10" t="inlineStr">
        <is>
          <t>☐ Not Started</t>
        </is>
      </c>
      <c r="L258" s="10" t="inlineStr"/>
    </row>
    <row r="259">
      <c r="A259" s="9" t="inlineStr">
        <is>
          <t>PyTorch</t>
        </is>
      </c>
      <c r="B259" s="9" t="inlineStr">
        <is>
          <t>Basics</t>
        </is>
      </c>
      <c r="C259" s="9" t="inlineStr">
        <is>
          <t>Model saving</t>
        </is>
      </c>
      <c r="D259" s="10" t="inlineStr">
        <is>
          <t>Day 52</t>
        </is>
      </c>
      <c r="E259" s="10" t="inlineStr">
        <is>
          <t>30 min</t>
        </is>
      </c>
      <c r="F259" s="10" t="inlineStr">
        <is>
          <t>☐ Not Started</t>
        </is>
      </c>
      <c r="G259" s="10">
        <f>IF(F259="☑ Completed", "COMPLETED", "NOT STARTED")</f>
        <v/>
      </c>
      <c r="H259" s="10" t="inlineStr">
        <is>
          <t>Day 55</t>
        </is>
      </c>
      <c r="I259" s="10" t="inlineStr">
        <is>
          <t>☐ Not Started</t>
        </is>
      </c>
      <c r="J259" s="10" t="inlineStr">
        <is>
          <t>Day 59</t>
        </is>
      </c>
      <c r="K259" s="10" t="inlineStr">
        <is>
          <t>☐ Not Started</t>
        </is>
      </c>
      <c r="L259" s="10" t="inlineStr"/>
    </row>
    <row r="260">
      <c r="A260" s="9" t="inlineStr">
        <is>
          <t>PyTorch</t>
        </is>
      </c>
      <c r="B260" s="9" t="inlineStr">
        <is>
          <t>Basics</t>
        </is>
      </c>
      <c r="C260" s="9" t="inlineStr">
        <is>
          <t>Model loading</t>
        </is>
      </c>
      <c r="D260" s="10" t="inlineStr">
        <is>
          <t>Day 52</t>
        </is>
      </c>
      <c r="E260" s="10" t="inlineStr">
        <is>
          <t>30 min</t>
        </is>
      </c>
      <c r="F260" s="10" t="inlineStr">
        <is>
          <t>☐ Not Started</t>
        </is>
      </c>
      <c r="G260" s="10">
        <f>IF(F260="☑ Completed", "COMPLETED", "NOT STARTED")</f>
        <v/>
      </c>
      <c r="H260" s="10" t="inlineStr">
        <is>
          <t>Day 55</t>
        </is>
      </c>
      <c r="I260" s="10" t="inlineStr">
        <is>
          <t>☐ Not Started</t>
        </is>
      </c>
      <c r="J260" s="10" t="inlineStr">
        <is>
          <t>Day 59</t>
        </is>
      </c>
      <c r="K260" s="10" t="inlineStr">
        <is>
          <t>☐ Not Started</t>
        </is>
      </c>
      <c r="L260" s="10" t="inlineStr"/>
    </row>
    <row r="261">
      <c r="A261" s="9" t="inlineStr">
        <is>
          <t>TensorFlow</t>
        </is>
      </c>
      <c r="B261" s="9" t="inlineStr">
        <is>
          <t>Keras</t>
        </is>
      </c>
      <c r="C261" s="9" t="inlineStr">
        <is>
          <t>TensorFlow basics</t>
        </is>
      </c>
      <c r="D261" s="10" t="inlineStr">
        <is>
          <t>Day 52</t>
        </is>
      </c>
      <c r="E261" s="10" t="inlineStr">
        <is>
          <t>30 min</t>
        </is>
      </c>
      <c r="F261" s="10" t="inlineStr">
        <is>
          <t>☐ Not Started</t>
        </is>
      </c>
      <c r="G261" s="10">
        <f>IF(F261="☑ Completed", "COMPLETED", "NOT STARTED")</f>
        <v/>
      </c>
      <c r="H261" s="10" t="inlineStr">
        <is>
          <t>Day 55</t>
        </is>
      </c>
      <c r="I261" s="10" t="inlineStr">
        <is>
          <t>☐ Not Started</t>
        </is>
      </c>
      <c r="J261" s="10" t="inlineStr">
        <is>
          <t>Day 59</t>
        </is>
      </c>
      <c r="K261" s="10" t="inlineStr">
        <is>
          <t>☐ Not Started</t>
        </is>
      </c>
      <c r="L261" s="10" t="inlineStr"/>
    </row>
    <row r="262">
      <c r="A262" s="9" t="inlineStr">
        <is>
          <t>TensorFlow</t>
        </is>
      </c>
      <c r="B262" s="9" t="inlineStr">
        <is>
          <t>Keras</t>
        </is>
      </c>
      <c r="C262" s="9" t="inlineStr">
        <is>
          <t>Keras model</t>
        </is>
      </c>
      <c r="D262" s="10" t="inlineStr">
        <is>
          <t>Day 53</t>
        </is>
      </c>
      <c r="E262" s="10" t="inlineStr">
        <is>
          <t>45 min</t>
        </is>
      </c>
      <c r="F262" s="10" t="inlineStr">
        <is>
          <t>☐ Not Started</t>
        </is>
      </c>
      <c r="G262" s="10">
        <f>IF(F262="☑ Completed", "COMPLETED", "NOT STARTED")</f>
        <v/>
      </c>
      <c r="H262" s="10" t="inlineStr">
        <is>
          <t>Day 56</t>
        </is>
      </c>
      <c r="I262" s="10" t="inlineStr">
        <is>
          <t>☐ Not Started</t>
        </is>
      </c>
      <c r="J262" s="10" t="inlineStr">
        <is>
          <t>Day 60</t>
        </is>
      </c>
      <c r="K262" s="10" t="inlineStr">
        <is>
          <t>☐ Not Started</t>
        </is>
      </c>
      <c r="L262" s="10" t="inlineStr"/>
    </row>
    <row r="263">
      <c r="A263" s="9" t="inlineStr">
        <is>
          <t>TensorFlow</t>
        </is>
      </c>
      <c r="B263" s="9" t="inlineStr">
        <is>
          <t>Keras</t>
        </is>
      </c>
      <c r="C263" s="9" t="inlineStr">
        <is>
          <t>Sequential</t>
        </is>
      </c>
      <c r="D263" s="10" t="inlineStr">
        <is>
          <t>Day 53</t>
        </is>
      </c>
      <c r="E263" s="10" t="inlineStr">
        <is>
          <t>30 min</t>
        </is>
      </c>
      <c r="F263" s="10" t="inlineStr">
        <is>
          <t>☐ Not Started</t>
        </is>
      </c>
      <c r="G263" s="10">
        <f>IF(F263="☑ Completed", "COMPLETED", "NOT STARTED")</f>
        <v/>
      </c>
      <c r="H263" s="10" t="inlineStr">
        <is>
          <t>Day 56</t>
        </is>
      </c>
      <c r="I263" s="10" t="inlineStr">
        <is>
          <t>☐ Not Started</t>
        </is>
      </c>
      <c r="J263" s="10" t="inlineStr">
        <is>
          <t>Day 60</t>
        </is>
      </c>
      <c r="K263" s="10" t="inlineStr">
        <is>
          <t>☐ Not Started</t>
        </is>
      </c>
      <c r="L263" s="10" t="inlineStr"/>
    </row>
    <row r="264">
      <c r="A264" s="9" t="inlineStr">
        <is>
          <t>TensorFlow</t>
        </is>
      </c>
      <c r="B264" s="9" t="inlineStr">
        <is>
          <t>Keras</t>
        </is>
      </c>
      <c r="C264" s="9" t="inlineStr">
        <is>
          <t>Dense</t>
        </is>
      </c>
      <c r="D264" s="10" t="inlineStr">
        <is>
          <t>Day 53</t>
        </is>
      </c>
      <c r="E264" s="10" t="inlineStr">
        <is>
          <t>30 min</t>
        </is>
      </c>
      <c r="F264" s="10" t="inlineStr">
        <is>
          <t>☐ Not Started</t>
        </is>
      </c>
      <c r="G264" s="10">
        <f>IF(F264="☑ Completed", "COMPLETED", "NOT STARTED")</f>
        <v/>
      </c>
      <c r="H264" s="10" t="inlineStr">
        <is>
          <t>Day 56</t>
        </is>
      </c>
      <c r="I264" s="10" t="inlineStr">
        <is>
          <t>☐ Not Started</t>
        </is>
      </c>
      <c r="J264" s="10" t="inlineStr">
        <is>
          <t>Day 60</t>
        </is>
      </c>
      <c r="K264" s="10" t="inlineStr">
        <is>
          <t>☐ Not Started</t>
        </is>
      </c>
      <c r="L264" s="10" t="inlineStr"/>
    </row>
    <row r="265">
      <c r="A265" s="9" t="inlineStr">
        <is>
          <t>TensorFlow</t>
        </is>
      </c>
      <c r="B265" s="9" t="inlineStr">
        <is>
          <t>Keras</t>
        </is>
      </c>
      <c r="C265" s="9" t="inlineStr">
        <is>
          <t>Compile</t>
        </is>
      </c>
      <c r="D265" s="10" t="inlineStr">
        <is>
          <t>Day 53</t>
        </is>
      </c>
      <c r="E265" s="10" t="inlineStr">
        <is>
          <t>30 min</t>
        </is>
      </c>
      <c r="F265" s="10" t="inlineStr">
        <is>
          <t>☐ Not Started</t>
        </is>
      </c>
      <c r="G265" s="10">
        <f>IF(F265="☑ Completed", "COMPLETED", "NOT STARTED")</f>
        <v/>
      </c>
      <c r="H265" s="10" t="inlineStr">
        <is>
          <t>Day 56</t>
        </is>
      </c>
      <c r="I265" s="10" t="inlineStr">
        <is>
          <t>☐ Not Started</t>
        </is>
      </c>
      <c r="J265" s="10" t="inlineStr">
        <is>
          <t>Day 60</t>
        </is>
      </c>
      <c r="K265" s="10" t="inlineStr">
        <is>
          <t>☐ Not Started</t>
        </is>
      </c>
      <c r="L265" s="10" t="inlineStr"/>
    </row>
    <row r="266">
      <c r="A266" s="9" t="inlineStr">
        <is>
          <t>TensorFlow</t>
        </is>
      </c>
      <c r="B266" s="9" t="inlineStr">
        <is>
          <t>Keras</t>
        </is>
      </c>
      <c r="C266" s="9" t="inlineStr">
        <is>
          <t>Fit</t>
        </is>
      </c>
      <c r="D266" s="10" t="inlineStr">
        <is>
          <t>Day 53</t>
        </is>
      </c>
      <c r="E266" s="10" t="inlineStr">
        <is>
          <t>30 min</t>
        </is>
      </c>
      <c r="F266" s="10" t="inlineStr">
        <is>
          <t>☐ Not Started</t>
        </is>
      </c>
      <c r="G266" s="10">
        <f>IF(F266="☑ Completed", "COMPLETED", "NOT STARTED")</f>
        <v/>
      </c>
      <c r="H266" s="10" t="inlineStr">
        <is>
          <t>Day 56</t>
        </is>
      </c>
      <c r="I266" s="10" t="inlineStr">
        <is>
          <t>☐ Not Started</t>
        </is>
      </c>
      <c r="J266" s="10" t="inlineStr">
        <is>
          <t>Day 60</t>
        </is>
      </c>
      <c r="K266" s="10" t="inlineStr">
        <is>
          <t>☐ Not Started</t>
        </is>
      </c>
      <c r="L266" s="10" t="inlineStr"/>
    </row>
    <row r="267">
      <c r="A267" s="9" t="inlineStr">
        <is>
          <t>TensorFlow</t>
        </is>
      </c>
      <c r="B267" s="9" t="inlineStr">
        <is>
          <t>Keras</t>
        </is>
      </c>
      <c r="C267" s="9" t="inlineStr">
        <is>
          <t>Evaluate</t>
        </is>
      </c>
      <c r="D267" s="10" t="inlineStr">
        <is>
          <t>Day 54</t>
        </is>
      </c>
      <c r="E267" s="10" t="inlineStr">
        <is>
          <t>45 min</t>
        </is>
      </c>
      <c r="F267" s="10" t="inlineStr">
        <is>
          <t>☐ Not Started</t>
        </is>
      </c>
      <c r="G267" s="10">
        <f>IF(F267="☑ Completed", "COMPLETED", "NOT STARTED")</f>
        <v/>
      </c>
      <c r="H267" s="10" t="inlineStr">
        <is>
          <t>Day 57</t>
        </is>
      </c>
      <c r="I267" s="10" t="inlineStr">
        <is>
          <t>☐ Not Started</t>
        </is>
      </c>
      <c r="J267" s="10" t="inlineStr">
        <is>
          <t>Day 61</t>
        </is>
      </c>
      <c r="K267" s="10" t="inlineStr">
        <is>
          <t>☐ Not Started</t>
        </is>
      </c>
      <c r="L267" s="10" t="inlineStr"/>
    </row>
    <row r="268">
      <c r="A268" s="9" t="inlineStr">
        <is>
          <t>TensorFlow</t>
        </is>
      </c>
      <c r="B268" s="9" t="inlineStr">
        <is>
          <t>Keras</t>
        </is>
      </c>
      <c r="C268" s="9" t="inlineStr">
        <is>
          <t>Predict</t>
        </is>
      </c>
      <c r="D268" s="10" t="inlineStr">
        <is>
          <t>Day 54</t>
        </is>
      </c>
      <c r="E268" s="10" t="inlineStr">
        <is>
          <t>30 min</t>
        </is>
      </c>
      <c r="F268" s="10" t="inlineStr">
        <is>
          <t>☐ Not Started</t>
        </is>
      </c>
      <c r="G268" s="10">
        <f>IF(F268="☑ Completed", "COMPLETED", "NOT STARTED")</f>
        <v/>
      </c>
      <c r="H268" s="10" t="inlineStr">
        <is>
          <t>Day 57</t>
        </is>
      </c>
      <c r="I268" s="10" t="inlineStr">
        <is>
          <t>☐ Not Started</t>
        </is>
      </c>
      <c r="J268" s="10" t="inlineStr">
        <is>
          <t>Day 61</t>
        </is>
      </c>
      <c r="K268" s="10" t="inlineStr">
        <is>
          <t>☐ Not Started</t>
        </is>
      </c>
      <c r="L268" s="10" t="inlineStr"/>
    </row>
    <row r="269">
      <c r="A269" s="9" t="inlineStr">
        <is>
          <t>Computer Vision</t>
        </is>
      </c>
      <c r="B269" s="9" t="inlineStr">
        <is>
          <t>CNN</t>
        </is>
      </c>
      <c r="C269" s="9" t="inlineStr">
        <is>
          <t>Image representation</t>
        </is>
      </c>
      <c r="D269" s="10" t="inlineStr">
        <is>
          <t>Day 54</t>
        </is>
      </c>
      <c r="E269" s="10" t="inlineStr">
        <is>
          <t>30 min</t>
        </is>
      </c>
      <c r="F269" s="10" t="inlineStr">
        <is>
          <t>☐ Not Started</t>
        </is>
      </c>
      <c r="G269" s="10">
        <f>IF(F269="☑ Completed", "COMPLETED", "NOT STARTED")</f>
        <v/>
      </c>
      <c r="H269" s="10" t="inlineStr">
        <is>
          <t>Day 57</t>
        </is>
      </c>
      <c r="I269" s="10" t="inlineStr">
        <is>
          <t>☐ Not Started</t>
        </is>
      </c>
      <c r="J269" s="10" t="inlineStr">
        <is>
          <t>Day 61</t>
        </is>
      </c>
      <c r="K269" s="10" t="inlineStr">
        <is>
          <t>☐ Not Started</t>
        </is>
      </c>
      <c r="L269" s="10" t="inlineStr"/>
    </row>
    <row r="270">
      <c r="A270" s="9" t="inlineStr">
        <is>
          <t>Computer Vision</t>
        </is>
      </c>
      <c r="B270" s="9" t="inlineStr">
        <is>
          <t>CNN</t>
        </is>
      </c>
      <c r="C270" s="9" t="inlineStr">
        <is>
          <t>Convolution</t>
        </is>
      </c>
      <c r="D270" s="10" t="inlineStr">
        <is>
          <t>Day 54</t>
        </is>
      </c>
      <c r="E270" s="10" t="inlineStr">
        <is>
          <t>30 min</t>
        </is>
      </c>
      <c r="F270" s="10" t="inlineStr">
        <is>
          <t>☐ Not Started</t>
        </is>
      </c>
      <c r="G270" s="10">
        <f>IF(F270="☑ Completed", "COMPLETED", "NOT STARTED")</f>
        <v/>
      </c>
      <c r="H270" s="10" t="inlineStr">
        <is>
          <t>Day 57</t>
        </is>
      </c>
      <c r="I270" s="10" t="inlineStr">
        <is>
          <t>☐ Not Started</t>
        </is>
      </c>
      <c r="J270" s="10" t="inlineStr">
        <is>
          <t>Day 61</t>
        </is>
      </c>
      <c r="K270" s="10" t="inlineStr">
        <is>
          <t>☐ Not Started</t>
        </is>
      </c>
      <c r="L270" s="10" t="inlineStr"/>
    </row>
    <row r="271">
      <c r="A271" s="9" t="inlineStr">
        <is>
          <t>Computer Vision</t>
        </is>
      </c>
      <c r="B271" s="9" t="inlineStr">
        <is>
          <t>CNN</t>
        </is>
      </c>
      <c r="C271" s="9" t="inlineStr">
        <is>
          <t>Filters</t>
        </is>
      </c>
      <c r="D271" s="10" t="inlineStr">
        <is>
          <t>Day 54</t>
        </is>
      </c>
      <c r="E271" s="10" t="inlineStr">
        <is>
          <t>30 min</t>
        </is>
      </c>
      <c r="F271" s="10" t="inlineStr">
        <is>
          <t>☐ Not Started</t>
        </is>
      </c>
      <c r="G271" s="10">
        <f>IF(F271="☑ Completed", "COMPLETED", "NOT STARTED")</f>
        <v/>
      </c>
      <c r="H271" s="10" t="inlineStr">
        <is>
          <t>Day 57</t>
        </is>
      </c>
      <c r="I271" s="10" t="inlineStr">
        <is>
          <t>☐ Not Started</t>
        </is>
      </c>
      <c r="J271" s="10" t="inlineStr">
        <is>
          <t>Day 61</t>
        </is>
      </c>
      <c r="K271" s="10" t="inlineStr">
        <is>
          <t>☐ Not Started</t>
        </is>
      </c>
      <c r="L271" s="10" t="inlineStr"/>
    </row>
    <row r="272">
      <c r="A272" s="9" t="inlineStr">
        <is>
          <t>Computer Vision</t>
        </is>
      </c>
      <c r="B272" s="9" t="inlineStr">
        <is>
          <t>CNN</t>
        </is>
      </c>
      <c r="C272" s="9" t="inlineStr">
        <is>
          <t>Feature maps</t>
        </is>
      </c>
      <c r="D272" s="10" t="inlineStr">
        <is>
          <t>Day 55</t>
        </is>
      </c>
      <c r="E272" s="10" t="inlineStr">
        <is>
          <t>45 min</t>
        </is>
      </c>
      <c r="F272" s="10" t="inlineStr">
        <is>
          <t>☐ Not Started</t>
        </is>
      </c>
      <c r="G272" s="10">
        <f>IF(F272="☑ Completed", "COMPLETED", "NOT STARTED")</f>
        <v/>
      </c>
      <c r="H272" s="10" t="inlineStr">
        <is>
          <t>Day 58</t>
        </is>
      </c>
      <c r="I272" s="10" t="inlineStr">
        <is>
          <t>☐ Not Started</t>
        </is>
      </c>
      <c r="J272" s="10" t="inlineStr">
        <is>
          <t>Day 62</t>
        </is>
      </c>
      <c r="K272" s="10" t="inlineStr">
        <is>
          <t>☐ Not Started</t>
        </is>
      </c>
      <c r="L272" s="10" t="inlineStr"/>
    </row>
    <row r="273">
      <c r="A273" s="9" t="inlineStr">
        <is>
          <t>Computer Vision</t>
        </is>
      </c>
      <c r="B273" s="9" t="inlineStr">
        <is>
          <t>CNN</t>
        </is>
      </c>
      <c r="C273" s="9" t="inlineStr">
        <is>
          <t>Pooling</t>
        </is>
      </c>
      <c r="D273" s="10" t="inlineStr">
        <is>
          <t>Day 55</t>
        </is>
      </c>
      <c r="E273" s="10" t="inlineStr">
        <is>
          <t>30 min</t>
        </is>
      </c>
      <c r="F273" s="10" t="inlineStr">
        <is>
          <t>☐ Not Started</t>
        </is>
      </c>
      <c r="G273" s="10">
        <f>IF(F273="☑ Completed", "COMPLETED", "NOT STARTED")</f>
        <v/>
      </c>
      <c r="H273" s="10" t="inlineStr">
        <is>
          <t>Day 58</t>
        </is>
      </c>
      <c r="I273" s="10" t="inlineStr">
        <is>
          <t>☐ Not Started</t>
        </is>
      </c>
      <c r="J273" s="10" t="inlineStr">
        <is>
          <t>Day 62</t>
        </is>
      </c>
      <c r="K273" s="10" t="inlineStr">
        <is>
          <t>☐ Not Started</t>
        </is>
      </c>
      <c r="L273" s="10" t="inlineStr"/>
    </row>
    <row r="274">
      <c r="A274" s="9" t="inlineStr">
        <is>
          <t>Computer Vision</t>
        </is>
      </c>
      <c r="B274" s="9" t="inlineStr">
        <is>
          <t>CNN</t>
        </is>
      </c>
      <c r="C274" s="9" t="inlineStr">
        <is>
          <t>Max pooling</t>
        </is>
      </c>
      <c r="D274" s="10" t="inlineStr">
        <is>
          <t>Day 55</t>
        </is>
      </c>
      <c r="E274" s="10" t="inlineStr">
        <is>
          <t>30 min</t>
        </is>
      </c>
      <c r="F274" s="10" t="inlineStr">
        <is>
          <t>☐ Not Started</t>
        </is>
      </c>
      <c r="G274" s="10">
        <f>IF(F274="☑ Completed", "COMPLETED", "NOT STARTED")</f>
        <v/>
      </c>
      <c r="H274" s="10" t="inlineStr">
        <is>
          <t>Day 58</t>
        </is>
      </c>
      <c r="I274" s="10" t="inlineStr">
        <is>
          <t>☐ Not Started</t>
        </is>
      </c>
      <c r="J274" s="10" t="inlineStr">
        <is>
          <t>Day 62</t>
        </is>
      </c>
      <c r="K274" s="10" t="inlineStr">
        <is>
          <t>☐ Not Started</t>
        </is>
      </c>
      <c r="L274" s="10" t="inlineStr"/>
    </row>
    <row r="275">
      <c r="A275" s="9" t="inlineStr">
        <is>
          <t>Computer Vision</t>
        </is>
      </c>
      <c r="B275" s="9" t="inlineStr">
        <is>
          <t>CNN</t>
        </is>
      </c>
      <c r="C275" s="9" t="inlineStr">
        <is>
          <t>CNN architecture</t>
        </is>
      </c>
      <c r="D275" s="10" t="inlineStr">
        <is>
          <t>Day 55</t>
        </is>
      </c>
      <c r="E275" s="10" t="inlineStr">
        <is>
          <t>30 min</t>
        </is>
      </c>
      <c r="F275" s="10" t="inlineStr">
        <is>
          <t>☐ Not Started</t>
        </is>
      </c>
      <c r="G275" s="10">
        <f>IF(F275="☑ Completed", "COMPLETED", "NOT STARTED")</f>
        <v/>
      </c>
      <c r="H275" s="10" t="inlineStr">
        <is>
          <t>Day 58</t>
        </is>
      </c>
      <c r="I275" s="10" t="inlineStr">
        <is>
          <t>☐ Not Started</t>
        </is>
      </c>
      <c r="J275" s="10" t="inlineStr">
        <is>
          <t>Day 62</t>
        </is>
      </c>
      <c r="K275" s="10" t="inlineStr">
        <is>
          <t>☐ Not Started</t>
        </is>
      </c>
      <c r="L275" s="10" t="inlineStr"/>
    </row>
    <row r="276">
      <c r="A276" s="9" t="inlineStr">
        <is>
          <t>Computer Vision</t>
        </is>
      </c>
      <c r="B276" s="9" t="inlineStr">
        <is>
          <t>CNN</t>
        </is>
      </c>
      <c r="C276" s="9" t="inlineStr">
        <is>
          <t>Flatten</t>
        </is>
      </c>
      <c r="D276" s="10" t="inlineStr">
        <is>
          <t>Day 55</t>
        </is>
      </c>
      <c r="E276" s="10" t="inlineStr">
        <is>
          <t>30 min</t>
        </is>
      </c>
      <c r="F276" s="10" t="inlineStr">
        <is>
          <t>☐ Not Started</t>
        </is>
      </c>
      <c r="G276" s="10">
        <f>IF(F276="☑ Completed", "COMPLETED", "NOT STARTED")</f>
        <v/>
      </c>
      <c r="H276" s="10" t="inlineStr">
        <is>
          <t>Day 58</t>
        </is>
      </c>
      <c r="I276" s="10" t="inlineStr">
        <is>
          <t>☐ Not Started</t>
        </is>
      </c>
      <c r="J276" s="10" t="inlineStr">
        <is>
          <t>Day 62</t>
        </is>
      </c>
      <c r="K276" s="10" t="inlineStr">
        <is>
          <t>☐ Not Started</t>
        </is>
      </c>
      <c r="L276" s="10" t="inlineStr"/>
    </row>
    <row r="277">
      <c r="A277" s="9" t="inlineStr">
        <is>
          <t>Computer Vision</t>
        </is>
      </c>
      <c r="B277" s="9" t="inlineStr">
        <is>
          <t>CNN</t>
        </is>
      </c>
      <c r="C277" s="9" t="inlineStr">
        <is>
          <t>Transfer learning</t>
        </is>
      </c>
      <c r="D277" s="10" t="inlineStr">
        <is>
          <t>Day 56</t>
        </is>
      </c>
      <c r="E277" s="10" t="inlineStr">
        <is>
          <t>45 min</t>
        </is>
      </c>
      <c r="F277" s="10" t="inlineStr">
        <is>
          <t>☐ Not Started</t>
        </is>
      </c>
      <c r="G277" s="10">
        <f>IF(F277="☑ Completed", "COMPLETED", "NOT STARTED")</f>
        <v/>
      </c>
      <c r="H277" s="10" t="inlineStr">
        <is>
          <t>Day 59</t>
        </is>
      </c>
      <c r="I277" s="10" t="inlineStr">
        <is>
          <t>☐ Not Started</t>
        </is>
      </c>
      <c r="J277" s="10" t="inlineStr">
        <is>
          <t>Day 63</t>
        </is>
      </c>
      <c r="K277" s="10" t="inlineStr">
        <is>
          <t>☐ Not Started</t>
        </is>
      </c>
      <c r="L277" s="10" t="inlineStr"/>
    </row>
    <row r="278">
      <c r="A278" s="9" t="inlineStr">
        <is>
          <t>Computer Vision</t>
        </is>
      </c>
      <c r="B278" s="9" t="inlineStr">
        <is>
          <t>CNN</t>
        </is>
      </c>
      <c r="C278" s="9" t="inlineStr">
        <is>
          <t>Image classification</t>
        </is>
      </c>
      <c r="D278" s="10" t="inlineStr">
        <is>
          <t>Day 56</t>
        </is>
      </c>
      <c r="E278" s="10" t="inlineStr">
        <is>
          <t>30 min</t>
        </is>
      </c>
      <c r="F278" s="10" t="inlineStr">
        <is>
          <t>☐ Not Started</t>
        </is>
      </c>
      <c r="G278" s="10">
        <f>IF(F278="☑ Completed", "COMPLETED", "NOT STARTED")</f>
        <v/>
      </c>
      <c r="H278" s="10" t="inlineStr">
        <is>
          <t>Day 59</t>
        </is>
      </c>
      <c r="I278" s="10" t="inlineStr">
        <is>
          <t>☐ Not Started</t>
        </is>
      </c>
      <c r="J278" s="10" t="inlineStr">
        <is>
          <t>Day 63</t>
        </is>
      </c>
      <c r="K278" s="10" t="inlineStr">
        <is>
          <t>☐ Not Started</t>
        </is>
      </c>
      <c r="L278" s="10" t="inlineStr"/>
    </row>
    <row r="279">
      <c r="A279" s="9" t="inlineStr">
        <is>
          <t>Computer Vision</t>
        </is>
      </c>
      <c r="B279" s="9" t="inlineStr">
        <is>
          <t>Object Detection</t>
        </is>
      </c>
      <c r="C279" s="9" t="inlineStr">
        <is>
          <t>Object detection</t>
        </is>
      </c>
      <c r="D279" s="10" t="inlineStr">
        <is>
          <t>Day 56</t>
        </is>
      </c>
      <c r="E279" s="10" t="inlineStr">
        <is>
          <t>30 min</t>
        </is>
      </c>
      <c r="F279" s="10" t="inlineStr">
        <is>
          <t>☐ Not Started</t>
        </is>
      </c>
      <c r="G279" s="10">
        <f>IF(F279="☑ Completed", "COMPLETED", "NOT STARTED")</f>
        <v/>
      </c>
      <c r="H279" s="10" t="inlineStr">
        <is>
          <t>Day 59</t>
        </is>
      </c>
      <c r="I279" s="10" t="inlineStr">
        <is>
          <t>☐ Not Started</t>
        </is>
      </c>
      <c r="J279" s="10" t="inlineStr">
        <is>
          <t>Day 63</t>
        </is>
      </c>
      <c r="K279" s="10" t="inlineStr">
        <is>
          <t>☐ Not Started</t>
        </is>
      </c>
      <c r="L279" s="10" t="inlineStr"/>
    </row>
    <row r="280">
      <c r="A280" s="9" t="inlineStr">
        <is>
          <t>Computer Vision</t>
        </is>
      </c>
      <c r="B280" s="9" t="inlineStr">
        <is>
          <t>Object Detection</t>
        </is>
      </c>
      <c r="C280" s="9" t="inlineStr">
        <is>
          <t>Bounding boxes</t>
        </is>
      </c>
      <c r="D280" s="10" t="inlineStr">
        <is>
          <t>Day 56</t>
        </is>
      </c>
      <c r="E280" s="10" t="inlineStr">
        <is>
          <t>30 min</t>
        </is>
      </c>
      <c r="F280" s="10" t="inlineStr">
        <is>
          <t>☐ Not Started</t>
        </is>
      </c>
      <c r="G280" s="10">
        <f>IF(F280="☑ Completed", "COMPLETED", "NOT STARTED")</f>
        <v/>
      </c>
      <c r="H280" s="10" t="inlineStr">
        <is>
          <t>Day 59</t>
        </is>
      </c>
      <c r="I280" s="10" t="inlineStr">
        <is>
          <t>☐ Not Started</t>
        </is>
      </c>
      <c r="J280" s="10" t="inlineStr">
        <is>
          <t>Day 63</t>
        </is>
      </c>
      <c r="K280" s="10" t="inlineStr">
        <is>
          <t>☐ Not Started</t>
        </is>
      </c>
      <c r="L280" s="10" t="inlineStr"/>
    </row>
    <row r="281">
      <c r="A281" s="9" t="inlineStr">
        <is>
          <t>Computer Vision</t>
        </is>
      </c>
      <c r="B281" s="9" t="inlineStr">
        <is>
          <t>Object Detection</t>
        </is>
      </c>
      <c r="C281" s="9" t="inlineStr">
        <is>
          <t>IoU</t>
        </is>
      </c>
      <c r="D281" s="10" t="inlineStr">
        <is>
          <t>Day 56</t>
        </is>
      </c>
      <c r="E281" s="10" t="inlineStr">
        <is>
          <t>30 min</t>
        </is>
      </c>
      <c r="F281" s="10" t="inlineStr">
        <is>
          <t>☐ Not Started</t>
        </is>
      </c>
      <c r="G281" s="10">
        <f>IF(F281="☑ Completed", "COMPLETED", "NOT STARTED")</f>
        <v/>
      </c>
      <c r="H281" s="10" t="inlineStr">
        <is>
          <t>Day 59</t>
        </is>
      </c>
      <c r="I281" s="10" t="inlineStr">
        <is>
          <t>☐ Not Started</t>
        </is>
      </c>
      <c r="J281" s="10" t="inlineStr">
        <is>
          <t>Day 63</t>
        </is>
      </c>
      <c r="K281" s="10" t="inlineStr">
        <is>
          <t>☐ Not Started</t>
        </is>
      </c>
      <c r="L281" s="10" t="inlineStr"/>
    </row>
    <row r="282">
      <c r="A282" s="9" t="inlineStr">
        <is>
          <t>Computer Vision</t>
        </is>
      </c>
      <c r="B282" s="9" t="inlineStr">
        <is>
          <t>Object Detection</t>
        </is>
      </c>
      <c r="C282" s="9" t="inlineStr">
        <is>
          <t>YOLO</t>
        </is>
      </c>
      <c r="D282" s="10" t="inlineStr">
        <is>
          <t>Day 57</t>
        </is>
      </c>
      <c r="E282" s="10" t="inlineStr">
        <is>
          <t>45 min</t>
        </is>
      </c>
      <c r="F282" s="10" t="inlineStr">
        <is>
          <t>☐ Not Started</t>
        </is>
      </c>
      <c r="G282" s="10">
        <f>IF(F282="☑ Completed", "COMPLETED", "NOT STARTED")</f>
        <v/>
      </c>
      <c r="H282" s="10" t="inlineStr">
        <is>
          <t>Day 60</t>
        </is>
      </c>
      <c r="I282" s="10" t="inlineStr">
        <is>
          <t>☐ Not Started</t>
        </is>
      </c>
      <c r="J282" s="10" t="inlineStr">
        <is>
          <t>Day 64</t>
        </is>
      </c>
      <c r="K282" s="10" t="inlineStr">
        <is>
          <t>☐ Not Started</t>
        </is>
      </c>
      <c r="L282" s="10" t="inlineStr"/>
    </row>
    <row r="283">
      <c r="A283" s="9" t="inlineStr">
        <is>
          <t>Computer Vision</t>
        </is>
      </c>
      <c r="B283" s="9" t="inlineStr">
        <is>
          <t>Object Detection</t>
        </is>
      </c>
      <c r="C283" s="9" t="inlineStr">
        <is>
          <t>Faster R-CNN concept</t>
        </is>
      </c>
      <c r="D283" s="10" t="inlineStr">
        <is>
          <t>Day 57</t>
        </is>
      </c>
      <c r="E283" s="10" t="inlineStr">
        <is>
          <t>30 min</t>
        </is>
      </c>
      <c r="F283" s="10" t="inlineStr">
        <is>
          <t>☐ Not Started</t>
        </is>
      </c>
      <c r="G283" s="10">
        <f>IF(F283="☑ Completed", "COMPLETED", "NOT STARTED")</f>
        <v/>
      </c>
      <c r="H283" s="10" t="inlineStr">
        <is>
          <t>Day 60</t>
        </is>
      </c>
      <c r="I283" s="10" t="inlineStr">
        <is>
          <t>☐ Not Started</t>
        </is>
      </c>
      <c r="J283" s="10" t="inlineStr">
        <is>
          <t>Day 64</t>
        </is>
      </c>
      <c r="K283" s="10" t="inlineStr">
        <is>
          <t>☐ Not Started</t>
        </is>
      </c>
      <c r="L283" s="10" t="inlineStr"/>
    </row>
    <row r="284">
      <c r="A284" s="9" t="inlineStr">
        <is>
          <t>Computer Vision</t>
        </is>
      </c>
      <c r="B284" s="9" t="inlineStr">
        <is>
          <t>Object Detection</t>
        </is>
      </c>
      <c r="C284" s="9" t="inlineStr">
        <is>
          <t>DETR concept</t>
        </is>
      </c>
      <c r="D284" s="10" t="inlineStr">
        <is>
          <t>Day 57</t>
        </is>
      </c>
      <c r="E284" s="10" t="inlineStr">
        <is>
          <t>30 min</t>
        </is>
      </c>
      <c r="F284" s="10" t="inlineStr">
        <is>
          <t>☐ Not Started</t>
        </is>
      </c>
      <c r="G284" s="10">
        <f>IF(F284="☑ Completed", "COMPLETED", "NOT STARTED")</f>
        <v/>
      </c>
      <c r="H284" s="10" t="inlineStr">
        <is>
          <t>Day 60</t>
        </is>
      </c>
      <c r="I284" s="10" t="inlineStr">
        <is>
          <t>☐ Not Started</t>
        </is>
      </c>
      <c r="J284" s="10" t="inlineStr">
        <is>
          <t>Day 64</t>
        </is>
      </c>
      <c r="K284" s="10" t="inlineStr">
        <is>
          <t>☐ Not Started</t>
        </is>
      </c>
      <c r="L284" s="10" t="inlineStr"/>
    </row>
    <row r="285">
      <c r="A285" s="9" t="inlineStr">
        <is>
          <t>Computer Vision</t>
        </is>
      </c>
      <c r="B285" s="9" t="inlineStr">
        <is>
          <t>Object Detection</t>
        </is>
      </c>
      <c r="C285" s="9" t="inlineStr">
        <is>
          <t>NMS concept</t>
        </is>
      </c>
      <c r="D285" s="10" t="inlineStr">
        <is>
          <t>Day 57</t>
        </is>
      </c>
      <c r="E285" s="10" t="inlineStr">
        <is>
          <t>30 min</t>
        </is>
      </c>
      <c r="F285" s="10" t="inlineStr">
        <is>
          <t>☐ Not Started</t>
        </is>
      </c>
      <c r="G285" s="10">
        <f>IF(F285="☑ Completed", "COMPLETED", "NOT STARTED")</f>
        <v/>
      </c>
      <c r="H285" s="10" t="inlineStr">
        <is>
          <t>Day 60</t>
        </is>
      </c>
      <c r="I285" s="10" t="inlineStr">
        <is>
          <t>☐ Not Started</t>
        </is>
      </c>
      <c r="J285" s="10" t="inlineStr">
        <is>
          <t>Day 64</t>
        </is>
      </c>
      <c r="K285" s="10" t="inlineStr">
        <is>
          <t>☐ Not Started</t>
        </is>
      </c>
      <c r="L285" s="10" t="inlineStr"/>
    </row>
    <row r="286">
      <c r="A286" s="9" t="inlineStr">
        <is>
          <t>NLP</t>
        </is>
      </c>
      <c r="B286" s="9" t="inlineStr">
        <is>
          <t>Basics</t>
        </is>
      </c>
      <c r="C286" s="9" t="inlineStr">
        <is>
          <t>Text preprocessing</t>
        </is>
      </c>
      <c r="D286" s="10" t="inlineStr">
        <is>
          <t>Day 57</t>
        </is>
      </c>
      <c r="E286" s="10" t="inlineStr">
        <is>
          <t>30 min</t>
        </is>
      </c>
      <c r="F286" s="10" t="inlineStr">
        <is>
          <t>☐ Not Started</t>
        </is>
      </c>
      <c r="G286" s="10">
        <f>IF(F286="☑ Completed", "COMPLETED", "NOT STARTED")</f>
        <v/>
      </c>
      <c r="H286" s="10" t="inlineStr">
        <is>
          <t>Day 60</t>
        </is>
      </c>
      <c r="I286" s="10" t="inlineStr">
        <is>
          <t>☐ Not Started</t>
        </is>
      </c>
      <c r="J286" s="10" t="inlineStr">
        <is>
          <t>Day 64</t>
        </is>
      </c>
      <c r="K286" s="10" t="inlineStr">
        <is>
          <t>☐ Not Started</t>
        </is>
      </c>
      <c r="L286" s="10" t="inlineStr"/>
    </row>
    <row r="287">
      <c r="A287" s="9" t="inlineStr">
        <is>
          <t>NLP</t>
        </is>
      </c>
      <c r="B287" s="9" t="inlineStr">
        <is>
          <t>Basics</t>
        </is>
      </c>
      <c r="C287" s="9" t="inlineStr">
        <is>
          <t>Tokenization</t>
        </is>
      </c>
      <c r="D287" s="10" t="inlineStr">
        <is>
          <t>Day 58</t>
        </is>
      </c>
      <c r="E287" s="10" t="inlineStr">
        <is>
          <t>45 min</t>
        </is>
      </c>
      <c r="F287" s="10" t="inlineStr">
        <is>
          <t>☐ Not Started</t>
        </is>
      </c>
      <c r="G287" s="10">
        <f>IF(F287="☑ Completed", "COMPLETED", "NOT STARTED")</f>
        <v/>
      </c>
      <c r="H287" s="10" t="inlineStr">
        <is>
          <t>Day 61</t>
        </is>
      </c>
      <c r="I287" s="10" t="inlineStr">
        <is>
          <t>☐ Not Started</t>
        </is>
      </c>
      <c r="J287" s="10" t="inlineStr">
        <is>
          <t>Day 65</t>
        </is>
      </c>
      <c r="K287" s="10" t="inlineStr">
        <is>
          <t>☐ Not Started</t>
        </is>
      </c>
      <c r="L287" s="10" t="inlineStr"/>
    </row>
    <row r="288">
      <c r="A288" s="9" t="inlineStr">
        <is>
          <t>NLP</t>
        </is>
      </c>
      <c r="B288" s="9" t="inlineStr">
        <is>
          <t>Basics</t>
        </is>
      </c>
      <c r="C288" s="9" t="inlineStr">
        <is>
          <t>Stopwords</t>
        </is>
      </c>
      <c r="D288" s="10" t="inlineStr">
        <is>
          <t>Day 58</t>
        </is>
      </c>
      <c r="E288" s="10" t="inlineStr">
        <is>
          <t>30 min</t>
        </is>
      </c>
      <c r="F288" s="10" t="inlineStr">
        <is>
          <t>☐ Not Started</t>
        </is>
      </c>
      <c r="G288" s="10">
        <f>IF(F288="☑ Completed", "COMPLETED", "NOT STARTED")</f>
        <v/>
      </c>
      <c r="H288" s="10" t="inlineStr">
        <is>
          <t>Day 61</t>
        </is>
      </c>
      <c r="I288" s="10" t="inlineStr">
        <is>
          <t>☐ Not Started</t>
        </is>
      </c>
      <c r="J288" s="10" t="inlineStr">
        <is>
          <t>Day 65</t>
        </is>
      </c>
      <c r="K288" s="10" t="inlineStr">
        <is>
          <t>☐ Not Started</t>
        </is>
      </c>
      <c r="L288" s="10" t="inlineStr"/>
    </row>
    <row r="289">
      <c r="A289" s="9" t="inlineStr">
        <is>
          <t>NLP</t>
        </is>
      </c>
      <c r="B289" s="9" t="inlineStr">
        <is>
          <t>Basics</t>
        </is>
      </c>
      <c r="C289" s="9" t="inlineStr">
        <is>
          <t>Stemming</t>
        </is>
      </c>
      <c r="D289" s="10" t="inlineStr">
        <is>
          <t>Day 58</t>
        </is>
      </c>
      <c r="E289" s="10" t="inlineStr">
        <is>
          <t>30 min</t>
        </is>
      </c>
      <c r="F289" s="10" t="inlineStr">
        <is>
          <t>☐ Not Started</t>
        </is>
      </c>
      <c r="G289" s="10">
        <f>IF(F289="☑ Completed", "COMPLETED", "NOT STARTED")</f>
        <v/>
      </c>
      <c r="H289" s="10" t="inlineStr">
        <is>
          <t>Day 61</t>
        </is>
      </c>
      <c r="I289" s="10" t="inlineStr">
        <is>
          <t>☐ Not Started</t>
        </is>
      </c>
      <c r="J289" s="10" t="inlineStr">
        <is>
          <t>Day 65</t>
        </is>
      </c>
      <c r="K289" s="10" t="inlineStr">
        <is>
          <t>☐ Not Started</t>
        </is>
      </c>
      <c r="L289" s="10" t="inlineStr"/>
    </row>
    <row r="290">
      <c r="A290" s="9" t="inlineStr">
        <is>
          <t>NLP</t>
        </is>
      </c>
      <c r="B290" s="9" t="inlineStr">
        <is>
          <t>Basics</t>
        </is>
      </c>
      <c r="C290" s="9" t="inlineStr">
        <is>
          <t>Lemmatization</t>
        </is>
      </c>
      <c r="D290" s="10" t="inlineStr">
        <is>
          <t>Day 58</t>
        </is>
      </c>
      <c r="E290" s="10" t="inlineStr">
        <is>
          <t>30 min</t>
        </is>
      </c>
      <c r="F290" s="10" t="inlineStr">
        <is>
          <t>☐ Not Started</t>
        </is>
      </c>
      <c r="G290" s="10">
        <f>IF(F290="☑ Completed", "COMPLETED", "NOT STARTED")</f>
        <v/>
      </c>
      <c r="H290" s="10" t="inlineStr">
        <is>
          <t>Day 61</t>
        </is>
      </c>
      <c r="I290" s="10" t="inlineStr">
        <is>
          <t>☐ Not Started</t>
        </is>
      </c>
      <c r="J290" s="10" t="inlineStr">
        <is>
          <t>Day 65</t>
        </is>
      </c>
      <c r="K290" s="10" t="inlineStr">
        <is>
          <t>☐ Not Started</t>
        </is>
      </c>
      <c r="L290" s="10" t="inlineStr"/>
    </row>
    <row r="291">
      <c r="A291" s="9" t="inlineStr">
        <is>
          <t>NLP</t>
        </is>
      </c>
      <c r="B291" s="9" t="inlineStr">
        <is>
          <t>Basics</t>
        </is>
      </c>
      <c r="C291" s="9" t="inlineStr">
        <is>
          <t>Bag of Words</t>
        </is>
      </c>
      <c r="D291" s="10" t="inlineStr">
        <is>
          <t>Day 58</t>
        </is>
      </c>
      <c r="E291" s="10" t="inlineStr">
        <is>
          <t>30 min</t>
        </is>
      </c>
      <c r="F291" s="10" t="inlineStr">
        <is>
          <t>☐ Not Started</t>
        </is>
      </c>
      <c r="G291" s="10">
        <f>IF(F291="☑ Completed", "COMPLETED", "NOT STARTED")</f>
        <v/>
      </c>
      <c r="H291" s="10" t="inlineStr">
        <is>
          <t>Day 61</t>
        </is>
      </c>
      <c r="I291" s="10" t="inlineStr">
        <is>
          <t>☐ Not Started</t>
        </is>
      </c>
      <c r="J291" s="10" t="inlineStr">
        <is>
          <t>Day 65</t>
        </is>
      </c>
      <c r="K291" s="10" t="inlineStr">
        <is>
          <t>☐ Not Started</t>
        </is>
      </c>
      <c r="L291" s="10" t="inlineStr"/>
    </row>
    <row r="292">
      <c r="A292" s="9" t="inlineStr">
        <is>
          <t>NLP</t>
        </is>
      </c>
      <c r="B292" s="9" t="inlineStr">
        <is>
          <t>Basics</t>
        </is>
      </c>
      <c r="C292" s="9" t="inlineStr">
        <is>
          <t>TF-IDF</t>
        </is>
      </c>
      <c r="D292" s="10" t="inlineStr">
        <is>
          <t>Day 59</t>
        </is>
      </c>
      <c r="E292" s="10" t="inlineStr">
        <is>
          <t>45 min</t>
        </is>
      </c>
      <c r="F292" s="10" t="inlineStr">
        <is>
          <t>☐ Not Started</t>
        </is>
      </c>
      <c r="G292" s="10">
        <f>IF(F292="☑ Completed", "COMPLETED", "NOT STARTED")</f>
        <v/>
      </c>
      <c r="H292" s="10" t="inlineStr">
        <is>
          <t>Day 62</t>
        </is>
      </c>
      <c r="I292" s="10" t="inlineStr">
        <is>
          <t>☐ Not Started</t>
        </is>
      </c>
      <c r="J292" s="10" t="inlineStr">
        <is>
          <t>Day 66</t>
        </is>
      </c>
      <c r="K292" s="10" t="inlineStr">
        <is>
          <t>☐ Not Started</t>
        </is>
      </c>
      <c r="L292" s="10" t="inlineStr"/>
    </row>
    <row r="293">
      <c r="A293" s="9" t="inlineStr">
        <is>
          <t>NLP</t>
        </is>
      </c>
      <c r="B293" s="9" t="inlineStr">
        <is>
          <t>Basics</t>
        </is>
      </c>
      <c r="C293" s="9" t="inlineStr">
        <is>
          <t>Word embeddings</t>
        </is>
      </c>
      <c r="D293" s="10" t="inlineStr">
        <is>
          <t>Day 59</t>
        </is>
      </c>
      <c r="E293" s="10" t="inlineStr">
        <is>
          <t>30 min</t>
        </is>
      </c>
      <c r="F293" s="10" t="inlineStr">
        <is>
          <t>☐ Not Started</t>
        </is>
      </c>
      <c r="G293" s="10">
        <f>IF(F293="☑ Completed", "COMPLETED", "NOT STARTED")</f>
        <v/>
      </c>
      <c r="H293" s="10" t="inlineStr">
        <is>
          <t>Day 62</t>
        </is>
      </c>
      <c r="I293" s="10" t="inlineStr">
        <is>
          <t>☐ Not Started</t>
        </is>
      </c>
      <c r="J293" s="10" t="inlineStr">
        <is>
          <t>Day 66</t>
        </is>
      </c>
      <c r="K293" s="10" t="inlineStr">
        <is>
          <t>☐ Not Started</t>
        </is>
      </c>
      <c r="L293" s="10" t="inlineStr"/>
    </row>
    <row r="294">
      <c r="A294" s="9" t="inlineStr">
        <is>
          <t>NLP</t>
        </is>
      </c>
      <c r="B294" s="9" t="inlineStr">
        <is>
          <t>Basics</t>
        </is>
      </c>
      <c r="C294" s="9" t="inlineStr">
        <is>
          <t>Word2Vec</t>
        </is>
      </c>
      <c r="D294" s="10" t="inlineStr">
        <is>
          <t>Day 59</t>
        </is>
      </c>
      <c r="E294" s="10" t="inlineStr">
        <is>
          <t>30 min</t>
        </is>
      </c>
      <c r="F294" s="10" t="inlineStr">
        <is>
          <t>☐ Not Started</t>
        </is>
      </c>
      <c r="G294" s="10">
        <f>IF(F294="☑ Completed", "COMPLETED", "NOT STARTED")</f>
        <v/>
      </c>
      <c r="H294" s="10" t="inlineStr">
        <is>
          <t>Day 62</t>
        </is>
      </c>
      <c r="I294" s="10" t="inlineStr">
        <is>
          <t>☐ Not Started</t>
        </is>
      </c>
      <c r="J294" s="10" t="inlineStr">
        <is>
          <t>Day 66</t>
        </is>
      </c>
      <c r="K294" s="10" t="inlineStr">
        <is>
          <t>☐ Not Started</t>
        </is>
      </c>
      <c r="L294" s="10" t="inlineStr"/>
    </row>
    <row r="295">
      <c r="A295" s="9" t="inlineStr">
        <is>
          <t>NLP</t>
        </is>
      </c>
      <c r="B295" s="9" t="inlineStr">
        <is>
          <t>Basics</t>
        </is>
      </c>
      <c r="C295" s="9" t="inlineStr">
        <is>
          <t>RNN</t>
        </is>
      </c>
      <c r="D295" s="10" t="inlineStr">
        <is>
          <t>Day 59</t>
        </is>
      </c>
      <c r="E295" s="10" t="inlineStr">
        <is>
          <t>30 min</t>
        </is>
      </c>
      <c r="F295" s="10" t="inlineStr">
        <is>
          <t>☐ Not Started</t>
        </is>
      </c>
      <c r="G295" s="10">
        <f>IF(F295="☑ Completed", "COMPLETED", "NOT STARTED")</f>
        <v/>
      </c>
      <c r="H295" s="10" t="inlineStr">
        <is>
          <t>Day 62</t>
        </is>
      </c>
      <c r="I295" s="10" t="inlineStr">
        <is>
          <t>☐ Not Started</t>
        </is>
      </c>
      <c r="J295" s="10" t="inlineStr">
        <is>
          <t>Day 66</t>
        </is>
      </c>
      <c r="K295" s="10" t="inlineStr">
        <is>
          <t>☐ Not Started</t>
        </is>
      </c>
      <c r="L295" s="10" t="inlineStr"/>
    </row>
    <row r="296">
      <c r="A296" s="9" t="inlineStr">
        <is>
          <t>NLP</t>
        </is>
      </c>
      <c r="B296" s="9" t="inlineStr">
        <is>
          <t>Basics</t>
        </is>
      </c>
      <c r="C296" s="9" t="inlineStr">
        <is>
          <t>LSTM</t>
        </is>
      </c>
      <c r="D296" s="10" t="inlineStr">
        <is>
          <t>Day 59</t>
        </is>
      </c>
      <c r="E296" s="10" t="inlineStr">
        <is>
          <t>30 min</t>
        </is>
      </c>
      <c r="F296" s="10" t="inlineStr">
        <is>
          <t>☐ Not Started</t>
        </is>
      </c>
      <c r="G296" s="10">
        <f>IF(F296="☑ Completed", "COMPLETED", "NOT STARTED")</f>
        <v/>
      </c>
      <c r="H296" s="10" t="inlineStr">
        <is>
          <t>Day 62</t>
        </is>
      </c>
      <c r="I296" s="10" t="inlineStr">
        <is>
          <t>☐ Not Started</t>
        </is>
      </c>
      <c r="J296" s="10" t="inlineStr">
        <is>
          <t>Day 66</t>
        </is>
      </c>
      <c r="K296" s="10" t="inlineStr">
        <is>
          <t>☐ Not Started</t>
        </is>
      </c>
      <c r="L296" s="10" t="inlineStr"/>
    </row>
    <row r="297">
      <c r="A297" s="9" t="inlineStr">
        <is>
          <t>NLP</t>
        </is>
      </c>
      <c r="B297" s="9" t="inlineStr">
        <is>
          <t>Basics</t>
        </is>
      </c>
      <c r="C297" s="9" t="inlineStr">
        <is>
          <t>GRU</t>
        </is>
      </c>
      <c r="D297" s="10" t="inlineStr">
        <is>
          <t>Day 60</t>
        </is>
      </c>
      <c r="E297" s="10" t="inlineStr">
        <is>
          <t>45 min</t>
        </is>
      </c>
      <c r="F297" s="10" t="inlineStr">
        <is>
          <t>☐ Not Started</t>
        </is>
      </c>
      <c r="G297" s="10">
        <f>IF(F297="☑ Completed", "COMPLETED", "NOT STARTED")</f>
        <v/>
      </c>
      <c r="H297" s="10" t="inlineStr">
        <is>
          <t>Day 63</t>
        </is>
      </c>
      <c r="I297" s="10" t="inlineStr">
        <is>
          <t>☐ Not Started</t>
        </is>
      </c>
      <c r="J297" s="10" t="inlineStr">
        <is>
          <t>Day 67</t>
        </is>
      </c>
      <c r="K297" s="10" t="inlineStr">
        <is>
          <t>☐ Not Started</t>
        </is>
      </c>
      <c r="L297" s="10" t="inlineStr"/>
    </row>
    <row r="298">
      <c r="A298" s="9" t="inlineStr">
        <is>
          <t>NLP</t>
        </is>
      </c>
      <c r="B298" s="9" t="inlineStr">
        <is>
          <t>Basics</t>
        </is>
      </c>
      <c r="C298" s="9" t="inlineStr">
        <is>
          <t>Attention</t>
        </is>
      </c>
      <c r="D298" s="10" t="inlineStr">
        <is>
          <t>Day 60</t>
        </is>
      </c>
      <c r="E298" s="10" t="inlineStr">
        <is>
          <t>30 min</t>
        </is>
      </c>
      <c r="F298" s="10" t="inlineStr">
        <is>
          <t>☐ Not Started</t>
        </is>
      </c>
      <c r="G298" s="10">
        <f>IF(F298="☑ Completed", "COMPLETED", "NOT STARTED")</f>
        <v/>
      </c>
      <c r="H298" s="10" t="inlineStr">
        <is>
          <t>Day 63</t>
        </is>
      </c>
      <c r="I298" s="10" t="inlineStr">
        <is>
          <t>☐ Not Started</t>
        </is>
      </c>
      <c r="J298" s="10" t="inlineStr">
        <is>
          <t>Day 67</t>
        </is>
      </c>
      <c r="K298" s="10" t="inlineStr">
        <is>
          <t>☐ Not Started</t>
        </is>
      </c>
      <c r="L298" s="10" t="inlineStr"/>
    </row>
    <row r="299">
      <c r="A299" s="9" t="inlineStr">
        <is>
          <t>Project Practice</t>
        </is>
      </c>
      <c r="B299" s="9" t="inlineStr">
        <is>
          <t>Revision</t>
        </is>
      </c>
      <c r="C299" s="9" t="inlineStr">
        <is>
          <t>Understand project architecture</t>
        </is>
      </c>
      <c r="D299" s="10" t="inlineStr">
        <is>
          <t>Day 60</t>
        </is>
      </c>
      <c r="E299" s="10" t="inlineStr">
        <is>
          <t>30 min</t>
        </is>
      </c>
      <c r="F299" s="10" t="inlineStr">
        <is>
          <t>☐ Not Started</t>
        </is>
      </c>
      <c r="G299" s="10">
        <f>IF(F299="☑ Completed", "COMPLETED", "NOT STARTED")</f>
        <v/>
      </c>
      <c r="H299" s="10" t="inlineStr">
        <is>
          <t>Day 63</t>
        </is>
      </c>
      <c r="I299" s="10" t="inlineStr">
        <is>
          <t>☐ Not Started</t>
        </is>
      </c>
      <c r="J299" s="10" t="inlineStr">
        <is>
          <t>Day 67</t>
        </is>
      </c>
      <c r="K299" s="10" t="inlineStr">
        <is>
          <t>☐ Not Started</t>
        </is>
      </c>
      <c r="L299" s="10" t="inlineStr"/>
    </row>
    <row r="300">
      <c r="A300" s="9" t="inlineStr">
        <is>
          <t>Project Practice</t>
        </is>
      </c>
      <c r="B300" s="9" t="inlineStr">
        <is>
          <t>Revision</t>
        </is>
      </c>
      <c r="C300" s="9" t="inlineStr">
        <is>
          <t>Understand dataset</t>
        </is>
      </c>
      <c r="D300" s="10" t="inlineStr">
        <is>
          <t>Day 60</t>
        </is>
      </c>
      <c r="E300" s="10" t="inlineStr">
        <is>
          <t>30 min</t>
        </is>
      </c>
      <c r="F300" s="10" t="inlineStr">
        <is>
          <t>☐ Not Started</t>
        </is>
      </c>
      <c r="G300" s="10">
        <f>IF(F300="☑ Completed", "COMPLETED", "NOT STARTED")</f>
        <v/>
      </c>
      <c r="H300" s="10" t="inlineStr">
        <is>
          <t>Day 63</t>
        </is>
      </c>
      <c r="I300" s="10" t="inlineStr">
        <is>
          <t>☐ Not Started</t>
        </is>
      </c>
      <c r="J300" s="10" t="inlineStr">
        <is>
          <t>Day 67</t>
        </is>
      </c>
      <c r="K300" s="10" t="inlineStr">
        <is>
          <t>☐ Not Started</t>
        </is>
      </c>
      <c r="L300" s="10" t="inlineStr"/>
    </row>
    <row r="301">
      <c r="A301" s="9" t="inlineStr">
        <is>
          <t>Project Practice</t>
        </is>
      </c>
      <c r="B301" s="9" t="inlineStr">
        <is>
          <t>Revision</t>
        </is>
      </c>
      <c r="C301" s="9" t="inlineStr">
        <is>
          <t>Understand preprocessing</t>
        </is>
      </c>
      <c r="D301" s="10" t="inlineStr">
        <is>
          <t>Day 60</t>
        </is>
      </c>
      <c r="E301" s="10" t="inlineStr">
        <is>
          <t>30 min</t>
        </is>
      </c>
      <c r="F301" s="10" t="inlineStr">
        <is>
          <t>☐ Not Started</t>
        </is>
      </c>
      <c r="G301" s="10">
        <f>IF(F301="☑ Completed", "COMPLETED", "NOT STARTED")</f>
        <v/>
      </c>
      <c r="H301" s="10" t="inlineStr">
        <is>
          <t>Day 63</t>
        </is>
      </c>
      <c r="I301" s="10" t="inlineStr">
        <is>
          <t>☐ Not Started</t>
        </is>
      </c>
      <c r="J301" s="10" t="inlineStr">
        <is>
          <t>Day 67</t>
        </is>
      </c>
      <c r="K301" s="10" t="inlineStr">
        <is>
          <t>☐ Not Started</t>
        </is>
      </c>
      <c r="L301" s="10" t="inlineStr"/>
    </row>
    <row r="302">
      <c r="A302" s="9" t="inlineStr">
        <is>
          <t>Project Practice</t>
        </is>
      </c>
      <c r="B302" s="9" t="inlineStr">
        <is>
          <t>Revision</t>
        </is>
      </c>
      <c r="C302" s="9" t="inlineStr">
        <is>
          <t>Understand model</t>
        </is>
      </c>
      <c r="D302" s="10" t="inlineStr">
        <is>
          <t>Day 61</t>
        </is>
      </c>
      <c r="E302" s="10" t="inlineStr">
        <is>
          <t>45 min</t>
        </is>
      </c>
      <c r="F302" s="10" t="inlineStr">
        <is>
          <t>☐ Not Started</t>
        </is>
      </c>
      <c r="G302" s="10">
        <f>IF(F302="☑ Completed", "COMPLETED", "NOT STARTED")</f>
        <v/>
      </c>
      <c r="H302" s="10" t="inlineStr">
        <is>
          <t>Day 64</t>
        </is>
      </c>
      <c r="I302" s="10" t="inlineStr">
        <is>
          <t>☐ Not Started</t>
        </is>
      </c>
      <c r="J302" s="10" t="inlineStr">
        <is>
          <t>Day 68</t>
        </is>
      </c>
      <c r="K302" s="10" t="inlineStr">
        <is>
          <t>☐ Not Started</t>
        </is>
      </c>
      <c r="L302" s="10" t="inlineStr"/>
    </row>
    <row r="303">
      <c r="A303" s="9" t="inlineStr">
        <is>
          <t>Project Practice</t>
        </is>
      </c>
      <c r="B303" s="9" t="inlineStr">
        <is>
          <t>Revision</t>
        </is>
      </c>
      <c r="C303" s="9" t="inlineStr">
        <is>
          <t>Understand training</t>
        </is>
      </c>
      <c r="D303" s="10" t="inlineStr">
        <is>
          <t>Day 61</t>
        </is>
      </c>
      <c r="E303" s="10" t="inlineStr">
        <is>
          <t>30 min</t>
        </is>
      </c>
      <c r="F303" s="10" t="inlineStr">
        <is>
          <t>☐ Not Started</t>
        </is>
      </c>
      <c r="G303" s="10">
        <f>IF(F303="☑ Completed", "COMPLETED", "NOT STARTED")</f>
        <v/>
      </c>
      <c r="H303" s="10" t="inlineStr">
        <is>
          <t>Day 64</t>
        </is>
      </c>
      <c r="I303" s="10" t="inlineStr">
        <is>
          <t>☐ Not Started</t>
        </is>
      </c>
      <c r="J303" s="10" t="inlineStr">
        <is>
          <t>Day 68</t>
        </is>
      </c>
      <c r="K303" s="10" t="inlineStr">
        <is>
          <t>☐ Not Started</t>
        </is>
      </c>
      <c r="L303" s="10" t="inlineStr"/>
    </row>
    <row r="304">
      <c r="A304" s="9" t="inlineStr">
        <is>
          <t>Project Practice</t>
        </is>
      </c>
      <c r="B304" s="9" t="inlineStr">
        <is>
          <t>Revision</t>
        </is>
      </c>
      <c r="C304" s="9" t="inlineStr">
        <is>
          <t>Understand inference</t>
        </is>
      </c>
      <c r="D304" s="10" t="inlineStr">
        <is>
          <t>Day 61</t>
        </is>
      </c>
      <c r="E304" s="10" t="inlineStr">
        <is>
          <t>30 min</t>
        </is>
      </c>
      <c r="F304" s="10" t="inlineStr">
        <is>
          <t>☐ Not Started</t>
        </is>
      </c>
      <c r="G304" s="10">
        <f>IF(F304="☑ Completed", "COMPLETED", "NOT STARTED")</f>
        <v/>
      </c>
      <c r="H304" s="10" t="inlineStr">
        <is>
          <t>Day 64</t>
        </is>
      </c>
      <c r="I304" s="10" t="inlineStr">
        <is>
          <t>☐ Not Started</t>
        </is>
      </c>
      <c r="J304" s="10" t="inlineStr">
        <is>
          <t>Day 68</t>
        </is>
      </c>
      <c r="K304" s="10" t="inlineStr">
        <is>
          <t>☐ Not Started</t>
        </is>
      </c>
      <c r="L304" s="10" t="inlineStr"/>
    </row>
    <row r="305">
      <c r="A305" s="9" t="inlineStr">
        <is>
          <t>Project Practice</t>
        </is>
      </c>
      <c r="B305" s="9" t="inlineStr">
        <is>
          <t>Revision</t>
        </is>
      </c>
      <c r="C305" s="9" t="inlineStr">
        <is>
          <t>Understand evaluation</t>
        </is>
      </c>
      <c r="D305" s="10" t="inlineStr">
        <is>
          <t>Day 61</t>
        </is>
      </c>
      <c r="E305" s="10" t="inlineStr">
        <is>
          <t>30 min</t>
        </is>
      </c>
      <c r="F305" s="10" t="inlineStr">
        <is>
          <t>☐ Not Started</t>
        </is>
      </c>
      <c r="G305" s="10">
        <f>IF(F305="☑ Completed", "COMPLETED", "NOT STARTED")</f>
        <v/>
      </c>
      <c r="H305" s="10" t="inlineStr">
        <is>
          <t>Day 64</t>
        </is>
      </c>
      <c r="I305" s="10" t="inlineStr">
        <is>
          <t>☐ Not Started</t>
        </is>
      </c>
      <c r="J305" s="10" t="inlineStr">
        <is>
          <t>Day 68</t>
        </is>
      </c>
      <c r="K305" s="10" t="inlineStr">
        <is>
          <t>☐ Not Started</t>
        </is>
      </c>
      <c r="L305" s="10" t="inlineStr"/>
    </row>
    <row r="306">
      <c r="A306" s="9" t="inlineStr">
        <is>
          <t>Project Practice</t>
        </is>
      </c>
      <c r="B306" s="9" t="inlineStr">
        <is>
          <t>Revision</t>
        </is>
      </c>
      <c r="C306" s="9" t="inlineStr">
        <is>
          <t>Run project locally</t>
        </is>
      </c>
      <c r="D306" s="10" t="inlineStr">
        <is>
          <t>Day 61</t>
        </is>
      </c>
      <c r="E306" s="10" t="inlineStr">
        <is>
          <t>30 min</t>
        </is>
      </c>
      <c r="F306" s="10" t="inlineStr">
        <is>
          <t>☐ Not Started</t>
        </is>
      </c>
      <c r="G306" s="10">
        <f>IF(F306="☑ Completed", "COMPLETED", "NOT STARTED")</f>
        <v/>
      </c>
      <c r="H306" s="10" t="inlineStr">
        <is>
          <t>Day 64</t>
        </is>
      </c>
      <c r="I306" s="10" t="inlineStr">
        <is>
          <t>☐ Not Started</t>
        </is>
      </c>
      <c r="J306" s="10" t="inlineStr">
        <is>
          <t>Day 68</t>
        </is>
      </c>
      <c r="K306" s="10" t="inlineStr">
        <is>
          <t>☐ Not Started</t>
        </is>
      </c>
      <c r="L306" s="10" t="inlineStr"/>
    </row>
    <row r="307">
      <c r="A307" s="9" t="inlineStr">
        <is>
          <t>Project Practice</t>
        </is>
      </c>
      <c r="B307" s="9" t="inlineStr">
        <is>
          <t>Revision</t>
        </is>
      </c>
      <c r="C307" s="9" t="inlineStr">
        <is>
          <t>Fix one bug</t>
        </is>
      </c>
      <c r="D307" s="10" t="inlineStr">
        <is>
          <t>Day 62</t>
        </is>
      </c>
      <c r="E307" s="10" t="inlineStr">
        <is>
          <t>45 min</t>
        </is>
      </c>
      <c r="F307" s="10" t="inlineStr">
        <is>
          <t>☐ Not Started</t>
        </is>
      </c>
      <c r="G307" s="10">
        <f>IF(F307="☑ Completed", "COMPLETED", "NOT STARTED")</f>
        <v/>
      </c>
      <c r="H307" s="10" t="inlineStr">
        <is>
          <t>Day 65</t>
        </is>
      </c>
      <c r="I307" s="10" t="inlineStr">
        <is>
          <t>☐ Not Started</t>
        </is>
      </c>
      <c r="J307" s="10" t="inlineStr">
        <is>
          <t>Day 69</t>
        </is>
      </c>
      <c r="K307" s="10" t="inlineStr">
        <is>
          <t>☐ Not Started</t>
        </is>
      </c>
      <c r="L307" s="10" t="inlineStr"/>
    </row>
    <row r="308">
      <c r="A308" s="9" t="inlineStr">
        <is>
          <t>Project Practice</t>
        </is>
      </c>
      <c r="B308" s="9" t="inlineStr">
        <is>
          <t>Revision</t>
        </is>
      </c>
      <c r="C308" s="9" t="inlineStr">
        <is>
          <t>Improve README</t>
        </is>
      </c>
      <c r="D308" s="10" t="inlineStr">
        <is>
          <t>Day 62</t>
        </is>
      </c>
      <c r="E308" s="10" t="inlineStr">
        <is>
          <t>30 min</t>
        </is>
      </c>
      <c r="F308" s="10" t="inlineStr">
        <is>
          <t>☐ Not Started</t>
        </is>
      </c>
      <c r="G308" s="10">
        <f>IF(F308="☑ Completed", "COMPLETED", "NOT STARTED")</f>
        <v/>
      </c>
      <c r="H308" s="10" t="inlineStr">
        <is>
          <t>Day 65</t>
        </is>
      </c>
      <c r="I308" s="10" t="inlineStr">
        <is>
          <t>☐ Not Started</t>
        </is>
      </c>
      <c r="J308" s="10" t="inlineStr">
        <is>
          <t>Day 69</t>
        </is>
      </c>
      <c r="K308" s="10" t="inlineStr">
        <is>
          <t>☐ Not Started</t>
        </is>
      </c>
      <c r="L308" s="10" t="inlineStr"/>
    </row>
    <row r="309">
      <c r="A309" s="9" t="inlineStr">
        <is>
          <t>Project Practice</t>
        </is>
      </c>
      <c r="B309" s="9" t="inlineStr">
        <is>
          <t>Revision</t>
        </is>
      </c>
      <c r="C309" s="9" t="inlineStr">
        <is>
          <t>Improve UI</t>
        </is>
      </c>
      <c r="D309" s="10" t="inlineStr">
        <is>
          <t>Day 62</t>
        </is>
      </c>
      <c r="E309" s="10" t="inlineStr">
        <is>
          <t>30 min</t>
        </is>
      </c>
      <c r="F309" s="10" t="inlineStr">
        <is>
          <t>☐ Not Started</t>
        </is>
      </c>
      <c r="G309" s="10">
        <f>IF(F309="☑ Completed", "COMPLETED", "NOT STARTED")</f>
        <v/>
      </c>
      <c r="H309" s="10" t="inlineStr">
        <is>
          <t>Day 65</t>
        </is>
      </c>
      <c r="I309" s="10" t="inlineStr">
        <is>
          <t>☐ Not Started</t>
        </is>
      </c>
      <c r="J309" s="10" t="inlineStr">
        <is>
          <t>Day 69</t>
        </is>
      </c>
      <c r="K309" s="10" t="inlineStr">
        <is>
          <t>☐ Not Started</t>
        </is>
      </c>
      <c r="L309" s="10" t="inlineStr"/>
    </row>
    <row r="310">
      <c r="A310" s="9" t="inlineStr">
        <is>
          <t>Project Practice</t>
        </is>
      </c>
      <c r="B310" s="9" t="inlineStr">
        <is>
          <t>Revision</t>
        </is>
      </c>
      <c r="C310" s="9" t="inlineStr">
        <is>
          <t>Prepare project explanation</t>
        </is>
      </c>
      <c r="D310" s="10" t="inlineStr">
        <is>
          <t>Day 62</t>
        </is>
      </c>
      <c r="E310" s="10" t="inlineStr">
        <is>
          <t>30 min</t>
        </is>
      </c>
      <c r="F310" s="10" t="inlineStr">
        <is>
          <t>☐ Not Started</t>
        </is>
      </c>
      <c r="G310" s="10">
        <f>IF(F310="☑ Completed", "COMPLETED", "NOT STARTED")</f>
        <v/>
      </c>
      <c r="H310" s="10" t="inlineStr">
        <is>
          <t>Day 65</t>
        </is>
      </c>
      <c r="I310" s="10" t="inlineStr">
        <is>
          <t>☐ Not Started</t>
        </is>
      </c>
      <c r="J310" s="10" t="inlineStr">
        <is>
          <t>Day 69</t>
        </is>
      </c>
      <c r="K310" s="10" t="inlineStr">
        <is>
          <t>☐ Not Started</t>
        </is>
      </c>
      <c r="L310" s="10" t="inlineStr"/>
    </row>
    <row r="311">
      <c r="A311" s="9" t="inlineStr">
        <is>
          <t>Project Practice</t>
        </is>
      </c>
      <c r="B311" s="9" t="inlineStr">
        <is>
          <t>Revision</t>
        </is>
      </c>
      <c r="C311" s="9" t="inlineStr">
        <is>
          <t>Prepare interview questions</t>
        </is>
      </c>
      <c r="D311" s="10" t="inlineStr">
        <is>
          <t>Day 62</t>
        </is>
      </c>
      <c r="E311" s="10" t="inlineStr">
        <is>
          <t>30 min</t>
        </is>
      </c>
      <c r="F311" s="10" t="inlineStr">
        <is>
          <t>☐ Not Started</t>
        </is>
      </c>
      <c r="G311" s="10">
        <f>IF(F311="☑ Completed", "COMPLETED", "NOT STARTED")</f>
        <v/>
      </c>
      <c r="H311" s="10" t="inlineStr">
        <is>
          <t>Day 65</t>
        </is>
      </c>
      <c r="I311" s="10" t="inlineStr">
        <is>
          <t>☐ Not Started</t>
        </is>
      </c>
      <c r="J311" s="10" t="inlineStr">
        <is>
          <t>Day 69</t>
        </is>
      </c>
      <c r="K311" s="10" t="inlineStr">
        <is>
          <t>☐ Not Started</t>
        </is>
      </c>
      <c r="L311" s="10" t="inlineStr"/>
    </row>
    <row r="312">
      <c r="A312" s="9" t="inlineStr">
        <is>
          <t>Generative AI</t>
        </is>
      </c>
      <c r="B312" s="9" t="inlineStr">
        <is>
          <t>Basics</t>
        </is>
      </c>
      <c r="C312" s="9" t="inlineStr">
        <is>
          <t>Generative AI</t>
        </is>
      </c>
      <c r="D312" s="10" t="inlineStr">
        <is>
          <t>Day 63</t>
        </is>
      </c>
      <c r="E312" s="10" t="inlineStr">
        <is>
          <t>45 min</t>
        </is>
      </c>
      <c r="F312" s="10" t="inlineStr">
        <is>
          <t>☐ Not Started</t>
        </is>
      </c>
      <c r="G312" s="10">
        <f>IF(F312="☑ Completed", "COMPLETED", "NOT STARTED")</f>
        <v/>
      </c>
      <c r="H312" s="10" t="inlineStr">
        <is>
          <t>Day 66</t>
        </is>
      </c>
      <c r="I312" s="10" t="inlineStr">
        <is>
          <t>☐ Not Started</t>
        </is>
      </c>
      <c r="J312" s="10" t="inlineStr">
        <is>
          <t>Day 70</t>
        </is>
      </c>
      <c r="K312" s="10" t="inlineStr">
        <is>
          <t>☐ Not Started</t>
        </is>
      </c>
      <c r="L312" s="10" t="inlineStr"/>
    </row>
    <row r="313">
      <c r="A313" s="9" t="inlineStr">
        <is>
          <t>Generative AI</t>
        </is>
      </c>
      <c r="B313" s="9" t="inlineStr">
        <is>
          <t>Basics</t>
        </is>
      </c>
      <c r="C313" s="9" t="inlineStr">
        <is>
          <t>LLM</t>
        </is>
      </c>
      <c r="D313" s="10" t="inlineStr">
        <is>
          <t>Day 63</t>
        </is>
      </c>
      <c r="E313" s="10" t="inlineStr">
        <is>
          <t>30 min</t>
        </is>
      </c>
      <c r="F313" s="10" t="inlineStr">
        <is>
          <t>☐ Not Started</t>
        </is>
      </c>
      <c r="G313" s="10">
        <f>IF(F313="☑ Completed", "COMPLETED", "NOT STARTED")</f>
        <v/>
      </c>
      <c r="H313" s="10" t="inlineStr">
        <is>
          <t>Day 66</t>
        </is>
      </c>
      <c r="I313" s="10" t="inlineStr">
        <is>
          <t>☐ Not Started</t>
        </is>
      </c>
      <c r="J313" s="10" t="inlineStr">
        <is>
          <t>Day 70</t>
        </is>
      </c>
      <c r="K313" s="10" t="inlineStr">
        <is>
          <t>☐ Not Started</t>
        </is>
      </c>
      <c r="L313" s="10" t="inlineStr"/>
    </row>
    <row r="314">
      <c r="A314" s="9" t="inlineStr">
        <is>
          <t>Generative AI</t>
        </is>
      </c>
      <c r="B314" s="9" t="inlineStr">
        <is>
          <t>Basics</t>
        </is>
      </c>
      <c r="C314" s="9" t="inlineStr">
        <is>
          <t>Tokens</t>
        </is>
      </c>
      <c r="D314" s="10" t="inlineStr">
        <is>
          <t>Day 63</t>
        </is>
      </c>
      <c r="E314" s="10" t="inlineStr">
        <is>
          <t>30 min</t>
        </is>
      </c>
      <c r="F314" s="10" t="inlineStr">
        <is>
          <t>☐ Not Started</t>
        </is>
      </c>
      <c r="G314" s="10">
        <f>IF(F314="☑ Completed", "COMPLETED", "NOT STARTED")</f>
        <v/>
      </c>
      <c r="H314" s="10" t="inlineStr">
        <is>
          <t>Day 66</t>
        </is>
      </c>
      <c r="I314" s="10" t="inlineStr">
        <is>
          <t>☐ Not Started</t>
        </is>
      </c>
      <c r="J314" s="10" t="inlineStr">
        <is>
          <t>Day 70</t>
        </is>
      </c>
      <c r="K314" s="10" t="inlineStr">
        <is>
          <t>☐ Not Started</t>
        </is>
      </c>
      <c r="L314" s="10" t="inlineStr"/>
    </row>
    <row r="315">
      <c r="A315" s="9" t="inlineStr">
        <is>
          <t>Generative AI</t>
        </is>
      </c>
      <c r="B315" s="9" t="inlineStr">
        <is>
          <t>Basics</t>
        </is>
      </c>
      <c r="C315" s="9" t="inlineStr">
        <is>
          <t>Tokenization</t>
        </is>
      </c>
      <c r="D315" s="10" t="inlineStr">
        <is>
          <t>Day 63</t>
        </is>
      </c>
      <c r="E315" s="10" t="inlineStr">
        <is>
          <t>30 min</t>
        </is>
      </c>
      <c r="F315" s="10" t="inlineStr">
        <is>
          <t>☐ Not Started</t>
        </is>
      </c>
      <c r="G315" s="10">
        <f>IF(F315="☑ Completed", "COMPLETED", "NOT STARTED")</f>
        <v/>
      </c>
      <c r="H315" s="10" t="inlineStr">
        <is>
          <t>Day 66</t>
        </is>
      </c>
      <c r="I315" s="10" t="inlineStr">
        <is>
          <t>☐ Not Started</t>
        </is>
      </c>
      <c r="J315" s="10" t="inlineStr">
        <is>
          <t>Day 70</t>
        </is>
      </c>
      <c r="K315" s="10" t="inlineStr">
        <is>
          <t>☐ Not Started</t>
        </is>
      </c>
      <c r="L315" s="10" t="inlineStr"/>
    </row>
    <row r="316">
      <c r="A316" s="9" t="inlineStr">
        <is>
          <t>Generative AI</t>
        </is>
      </c>
      <c r="B316" s="9" t="inlineStr">
        <is>
          <t>Basics</t>
        </is>
      </c>
      <c r="C316" s="9" t="inlineStr">
        <is>
          <t>Context window</t>
        </is>
      </c>
      <c r="D316" s="10" t="inlineStr">
        <is>
          <t>Day 63</t>
        </is>
      </c>
      <c r="E316" s="10" t="inlineStr">
        <is>
          <t>30 min</t>
        </is>
      </c>
      <c r="F316" s="10" t="inlineStr">
        <is>
          <t>☐ Not Started</t>
        </is>
      </c>
      <c r="G316" s="10">
        <f>IF(F316="☑ Completed", "COMPLETED", "NOT STARTED")</f>
        <v/>
      </c>
      <c r="H316" s="10" t="inlineStr">
        <is>
          <t>Day 66</t>
        </is>
      </c>
      <c r="I316" s="10" t="inlineStr">
        <is>
          <t>☐ Not Started</t>
        </is>
      </c>
      <c r="J316" s="10" t="inlineStr">
        <is>
          <t>Day 70</t>
        </is>
      </c>
      <c r="K316" s="10" t="inlineStr">
        <is>
          <t>☐ Not Started</t>
        </is>
      </c>
      <c r="L316" s="10" t="inlineStr"/>
    </row>
    <row r="317">
      <c r="A317" s="9" t="inlineStr">
        <is>
          <t>Generative AI</t>
        </is>
      </c>
      <c r="B317" s="9" t="inlineStr">
        <is>
          <t>Basics</t>
        </is>
      </c>
      <c r="C317" s="9" t="inlineStr">
        <is>
          <t>Parameters</t>
        </is>
      </c>
      <c r="D317" s="10" t="inlineStr">
        <is>
          <t>Day 64</t>
        </is>
      </c>
      <c r="E317" s="10" t="inlineStr">
        <is>
          <t>45 min</t>
        </is>
      </c>
      <c r="F317" s="10" t="inlineStr">
        <is>
          <t>☐ Not Started</t>
        </is>
      </c>
      <c r="G317" s="10">
        <f>IF(F317="☑ Completed", "COMPLETED", "NOT STARTED")</f>
        <v/>
      </c>
      <c r="H317" s="10" t="inlineStr">
        <is>
          <t>Day 67</t>
        </is>
      </c>
      <c r="I317" s="10" t="inlineStr">
        <is>
          <t>☐ Not Started</t>
        </is>
      </c>
      <c r="J317" s="10" t="inlineStr">
        <is>
          <t>Day 71</t>
        </is>
      </c>
      <c r="K317" s="10" t="inlineStr">
        <is>
          <t>☐ Not Started</t>
        </is>
      </c>
      <c r="L317" s="10" t="inlineStr"/>
    </row>
    <row r="318">
      <c r="A318" s="9" t="inlineStr">
        <is>
          <t>Generative AI</t>
        </is>
      </c>
      <c r="B318" s="9" t="inlineStr">
        <is>
          <t>Basics</t>
        </is>
      </c>
      <c r="C318" s="9" t="inlineStr">
        <is>
          <t>Inference</t>
        </is>
      </c>
      <c r="D318" s="10" t="inlineStr">
        <is>
          <t>Day 64</t>
        </is>
      </c>
      <c r="E318" s="10" t="inlineStr">
        <is>
          <t>30 min</t>
        </is>
      </c>
      <c r="F318" s="10" t="inlineStr">
        <is>
          <t>☐ Not Started</t>
        </is>
      </c>
      <c r="G318" s="10">
        <f>IF(F318="☑ Completed", "COMPLETED", "NOT STARTED")</f>
        <v/>
      </c>
      <c r="H318" s="10" t="inlineStr">
        <is>
          <t>Day 67</t>
        </is>
      </c>
      <c r="I318" s="10" t="inlineStr">
        <is>
          <t>☐ Not Started</t>
        </is>
      </c>
      <c r="J318" s="10" t="inlineStr">
        <is>
          <t>Day 71</t>
        </is>
      </c>
      <c r="K318" s="10" t="inlineStr">
        <is>
          <t>☐ Not Started</t>
        </is>
      </c>
      <c r="L318" s="10" t="inlineStr"/>
    </row>
    <row r="319">
      <c r="A319" s="9" t="inlineStr">
        <is>
          <t>Generative AI</t>
        </is>
      </c>
      <c r="B319" s="9" t="inlineStr">
        <is>
          <t>Basics</t>
        </is>
      </c>
      <c r="C319" s="9" t="inlineStr">
        <is>
          <t>Temperature</t>
        </is>
      </c>
      <c r="D319" s="10" t="inlineStr">
        <is>
          <t>Day 64</t>
        </is>
      </c>
      <c r="E319" s="10" t="inlineStr">
        <is>
          <t>30 min</t>
        </is>
      </c>
      <c r="F319" s="10" t="inlineStr">
        <is>
          <t>☐ Not Started</t>
        </is>
      </c>
      <c r="G319" s="10">
        <f>IF(F319="☑ Completed", "COMPLETED", "NOT STARTED")</f>
        <v/>
      </c>
      <c r="H319" s="10" t="inlineStr">
        <is>
          <t>Day 67</t>
        </is>
      </c>
      <c r="I319" s="10" t="inlineStr">
        <is>
          <t>☐ Not Started</t>
        </is>
      </c>
      <c r="J319" s="10" t="inlineStr">
        <is>
          <t>Day 71</t>
        </is>
      </c>
      <c r="K319" s="10" t="inlineStr">
        <is>
          <t>☐ Not Started</t>
        </is>
      </c>
      <c r="L319" s="10" t="inlineStr"/>
    </row>
    <row r="320">
      <c r="A320" s="9" t="inlineStr">
        <is>
          <t>Generative AI</t>
        </is>
      </c>
      <c r="B320" s="9" t="inlineStr">
        <is>
          <t>Basics</t>
        </is>
      </c>
      <c r="C320" s="9" t="inlineStr">
        <is>
          <t>Top-p</t>
        </is>
      </c>
      <c r="D320" s="10" t="inlineStr">
        <is>
          <t>Day 64</t>
        </is>
      </c>
      <c r="E320" s="10" t="inlineStr">
        <is>
          <t>30 min</t>
        </is>
      </c>
      <c r="F320" s="10" t="inlineStr">
        <is>
          <t>☐ Not Started</t>
        </is>
      </c>
      <c r="G320" s="10">
        <f>IF(F320="☑ Completed", "COMPLETED", "NOT STARTED")</f>
        <v/>
      </c>
      <c r="H320" s="10" t="inlineStr">
        <is>
          <t>Day 67</t>
        </is>
      </c>
      <c r="I320" s="10" t="inlineStr">
        <is>
          <t>☐ Not Started</t>
        </is>
      </c>
      <c r="J320" s="10" t="inlineStr">
        <is>
          <t>Day 71</t>
        </is>
      </c>
      <c r="K320" s="10" t="inlineStr">
        <is>
          <t>☐ Not Started</t>
        </is>
      </c>
      <c r="L320" s="10" t="inlineStr"/>
    </row>
    <row r="321">
      <c r="A321" s="9" t="inlineStr">
        <is>
          <t>Generative AI</t>
        </is>
      </c>
      <c r="B321" s="9" t="inlineStr">
        <is>
          <t>Basics</t>
        </is>
      </c>
      <c r="C321" s="9" t="inlineStr">
        <is>
          <t>Embeddings</t>
        </is>
      </c>
      <c r="D321" s="10" t="inlineStr">
        <is>
          <t>Day 64</t>
        </is>
      </c>
      <c r="E321" s="10" t="inlineStr">
        <is>
          <t>30 min</t>
        </is>
      </c>
      <c r="F321" s="10" t="inlineStr">
        <is>
          <t>☐ Not Started</t>
        </is>
      </c>
      <c r="G321" s="10">
        <f>IF(F321="☑ Completed", "COMPLETED", "NOT STARTED")</f>
        <v/>
      </c>
      <c r="H321" s="10" t="inlineStr">
        <is>
          <t>Day 67</t>
        </is>
      </c>
      <c r="I321" s="10" t="inlineStr">
        <is>
          <t>☐ Not Started</t>
        </is>
      </c>
      <c r="J321" s="10" t="inlineStr">
        <is>
          <t>Day 71</t>
        </is>
      </c>
      <c r="K321" s="10" t="inlineStr">
        <is>
          <t>☐ Not Started</t>
        </is>
      </c>
      <c r="L321" s="10" t="inlineStr"/>
    </row>
    <row r="322">
      <c r="A322" s="9" t="inlineStr">
        <is>
          <t>Generative AI</t>
        </is>
      </c>
      <c r="B322" s="9" t="inlineStr">
        <is>
          <t>Basics</t>
        </is>
      </c>
      <c r="C322" s="9" t="inlineStr">
        <is>
          <t>Hallucination</t>
        </is>
      </c>
      <c r="D322" s="10" t="inlineStr">
        <is>
          <t>Day 65</t>
        </is>
      </c>
      <c r="E322" s="10" t="inlineStr">
        <is>
          <t>45 min</t>
        </is>
      </c>
      <c r="F322" s="10" t="inlineStr">
        <is>
          <t>☐ Not Started</t>
        </is>
      </c>
      <c r="G322" s="10">
        <f>IF(F322="☑ Completed", "COMPLETED", "NOT STARTED")</f>
        <v/>
      </c>
      <c r="H322" s="10" t="inlineStr">
        <is>
          <t>Day 68</t>
        </is>
      </c>
      <c r="I322" s="10" t="inlineStr">
        <is>
          <t>☐ Not Started</t>
        </is>
      </c>
      <c r="J322" s="10" t="inlineStr">
        <is>
          <t>Day 72</t>
        </is>
      </c>
      <c r="K322" s="10" t="inlineStr">
        <is>
          <t>☐ Not Started</t>
        </is>
      </c>
      <c r="L322" s="10" t="inlineStr"/>
    </row>
    <row r="323">
      <c r="A323" s="9" t="inlineStr">
        <is>
          <t>Prompt Engineering</t>
        </is>
      </c>
      <c r="B323" s="9" t="inlineStr">
        <is>
          <t>Techniques</t>
        </is>
      </c>
      <c r="C323" s="9" t="inlineStr">
        <is>
          <t>Zero-shot prompting</t>
        </is>
      </c>
      <c r="D323" s="10" t="inlineStr">
        <is>
          <t>Day 65</t>
        </is>
      </c>
      <c r="E323" s="10" t="inlineStr">
        <is>
          <t>30 min</t>
        </is>
      </c>
      <c r="F323" s="10" t="inlineStr">
        <is>
          <t>☐ Not Started</t>
        </is>
      </c>
      <c r="G323" s="10">
        <f>IF(F323="☑ Completed", "COMPLETED", "NOT STARTED")</f>
        <v/>
      </c>
      <c r="H323" s="10" t="inlineStr">
        <is>
          <t>Day 68</t>
        </is>
      </c>
      <c r="I323" s="10" t="inlineStr">
        <is>
          <t>☐ Not Started</t>
        </is>
      </c>
      <c r="J323" s="10" t="inlineStr">
        <is>
          <t>Day 72</t>
        </is>
      </c>
      <c r="K323" s="10" t="inlineStr">
        <is>
          <t>☐ Not Started</t>
        </is>
      </c>
      <c r="L323" s="10" t="inlineStr"/>
    </row>
    <row r="324">
      <c r="A324" s="9" t="inlineStr">
        <is>
          <t>Prompt Engineering</t>
        </is>
      </c>
      <c r="B324" s="9" t="inlineStr">
        <is>
          <t>Techniques</t>
        </is>
      </c>
      <c r="C324" s="9" t="inlineStr">
        <is>
          <t>Few-shot prompting</t>
        </is>
      </c>
      <c r="D324" s="10" t="inlineStr">
        <is>
          <t>Day 65</t>
        </is>
      </c>
      <c r="E324" s="10" t="inlineStr">
        <is>
          <t>30 min</t>
        </is>
      </c>
      <c r="F324" s="10" t="inlineStr">
        <is>
          <t>☐ Not Started</t>
        </is>
      </c>
      <c r="G324" s="10">
        <f>IF(F324="☑ Completed", "COMPLETED", "NOT STARTED")</f>
        <v/>
      </c>
      <c r="H324" s="10" t="inlineStr">
        <is>
          <t>Day 68</t>
        </is>
      </c>
      <c r="I324" s="10" t="inlineStr">
        <is>
          <t>☐ Not Started</t>
        </is>
      </c>
      <c r="J324" s="10" t="inlineStr">
        <is>
          <t>Day 72</t>
        </is>
      </c>
      <c r="K324" s="10" t="inlineStr">
        <is>
          <t>☐ Not Started</t>
        </is>
      </c>
      <c r="L324" s="10" t="inlineStr"/>
    </row>
    <row r="325">
      <c r="A325" s="9" t="inlineStr">
        <is>
          <t>Prompt Engineering</t>
        </is>
      </c>
      <c r="B325" s="9" t="inlineStr">
        <is>
          <t>Techniques</t>
        </is>
      </c>
      <c r="C325" s="9" t="inlineStr">
        <is>
          <t>Role prompting</t>
        </is>
      </c>
      <c r="D325" s="10" t="inlineStr">
        <is>
          <t>Day 65</t>
        </is>
      </c>
      <c r="E325" s="10" t="inlineStr">
        <is>
          <t>30 min</t>
        </is>
      </c>
      <c r="F325" s="10" t="inlineStr">
        <is>
          <t>☐ Not Started</t>
        </is>
      </c>
      <c r="G325" s="10">
        <f>IF(F325="☑ Completed", "COMPLETED", "NOT STARTED")</f>
        <v/>
      </c>
      <c r="H325" s="10" t="inlineStr">
        <is>
          <t>Day 68</t>
        </is>
      </c>
      <c r="I325" s="10" t="inlineStr">
        <is>
          <t>☐ Not Started</t>
        </is>
      </c>
      <c r="J325" s="10" t="inlineStr">
        <is>
          <t>Day 72</t>
        </is>
      </c>
      <c r="K325" s="10" t="inlineStr">
        <is>
          <t>☐ Not Started</t>
        </is>
      </c>
      <c r="L325" s="10" t="inlineStr"/>
    </row>
    <row r="326">
      <c r="A326" s="9" t="inlineStr">
        <is>
          <t>Prompt Engineering</t>
        </is>
      </c>
      <c r="B326" s="9" t="inlineStr">
        <is>
          <t>Techniques</t>
        </is>
      </c>
      <c r="C326" s="9" t="inlineStr">
        <is>
          <t>System prompts</t>
        </is>
      </c>
      <c r="D326" s="10" t="inlineStr">
        <is>
          <t>Day 65</t>
        </is>
      </c>
      <c r="E326" s="10" t="inlineStr">
        <is>
          <t>30 min</t>
        </is>
      </c>
      <c r="F326" s="10" t="inlineStr">
        <is>
          <t>☐ Not Started</t>
        </is>
      </c>
      <c r="G326" s="10">
        <f>IF(F326="☑ Completed", "COMPLETED", "NOT STARTED")</f>
        <v/>
      </c>
      <c r="H326" s="10" t="inlineStr">
        <is>
          <t>Day 68</t>
        </is>
      </c>
      <c r="I326" s="10" t="inlineStr">
        <is>
          <t>☐ Not Started</t>
        </is>
      </c>
      <c r="J326" s="10" t="inlineStr">
        <is>
          <t>Day 72</t>
        </is>
      </c>
      <c r="K326" s="10" t="inlineStr">
        <is>
          <t>☐ Not Started</t>
        </is>
      </c>
      <c r="L326" s="10" t="inlineStr"/>
    </row>
    <row r="327">
      <c r="A327" s="9" t="inlineStr">
        <is>
          <t>Prompt Engineering</t>
        </is>
      </c>
      <c r="B327" s="9" t="inlineStr">
        <is>
          <t>Techniques</t>
        </is>
      </c>
      <c r="C327" s="9" t="inlineStr">
        <is>
          <t>Prompt templates</t>
        </is>
      </c>
      <c r="D327" s="10" t="inlineStr">
        <is>
          <t>Day 66</t>
        </is>
      </c>
      <c r="E327" s="10" t="inlineStr">
        <is>
          <t>45 min</t>
        </is>
      </c>
      <c r="F327" s="10" t="inlineStr">
        <is>
          <t>☐ Not Started</t>
        </is>
      </c>
      <c r="G327" s="10">
        <f>IF(F327="☑ Completed", "COMPLETED", "NOT STARTED")</f>
        <v/>
      </c>
      <c r="H327" s="10" t="inlineStr">
        <is>
          <t>Day 69</t>
        </is>
      </c>
      <c r="I327" s="10" t="inlineStr">
        <is>
          <t>☐ Not Started</t>
        </is>
      </c>
      <c r="J327" s="10" t="inlineStr">
        <is>
          <t>Day 73</t>
        </is>
      </c>
      <c r="K327" s="10" t="inlineStr">
        <is>
          <t>☐ Not Started</t>
        </is>
      </c>
      <c r="L327" s="10" t="inlineStr"/>
    </row>
    <row r="328">
      <c r="A328" s="9" t="inlineStr">
        <is>
          <t>Prompt Engineering</t>
        </is>
      </c>
      <c r="B328" s="9" t="inlineStr">
        <is>
          <t>Techniques</t>
        </is>
      </c>
      <c r="C328" s="9" t="inlineStr">
        <is>
          <t>Structured output</t>
        </is>
      </c>
      <c r="D328" s="10" t="inlineStr">
        <is>
          <t>Day 66</t>
        </is>
      </c>
      <c r="E328" s="10" t="inlineStr">
        <is>
          <t>30 min</t>
        </is>
      </c>
      <c r="F328" s="10" t="inlineStr">
        <is>
          <t>☐ Not Started</t>
        </is>
      </c>
      <c r="G328" s="10">
        <f>IF(F328="☑ Completed", "COMPLETED", "NOT STARTED")</f>
        <v/>
      </c>
      <c r="H328" s="10" t="inlineStr">
        <is>
          <t>Day 69</t>
        </is>
      </c>
      <c r="I328" s="10" t="inlineStr">
        <is>
          <t>☐ Not Started</t>
        </is>
      </c>
      <c r="J328" s="10" t="inlineStr">
        <is>
          <t>Day 73</t>
        </is>
      </c>
      <c r="K328" s="10" t="inlineStr">
        <is>
          <t>☐ Not Started</t>
        </is>
      </c>
      <c r="L328" s="10" t="inlineStr"/>
    </row>
    <row r="329">
      <c r="A329" s="9" t="inlineStr">
        <is>
          <t>Prompt Engineering</t>
        </is>
      </c>
      <c r="B329" s="9" t="inlineStr">
        <is>
          <t>Techniques</t>
        </is>
      </c>
      <c r="C329" s="9" t="inlineStr">
        <is>
          <t>Prompt evaluation</t>
        </is>
      </c>
      <c r="D329" s="10" t="inlineStr">
        <is>
          <t>Day 66</t>
        </is>
      </c>
      <c r="E329" s="10" t="inlineStr">
        <is>
          <t>30 min</t>
        </is>
      </c>
      <c r="F329" s="10" t="inlineStr">
        <is>
          <t>☐ Not Started</t>
        </is>
      </c>
      <c r="G329" s="10">
        <f>IF(F329="☑ Completed", "COMPLETED", "NOT STARTED")</f>
        <v/>
      </c>
      <c r="H329" s="10" t="inlineStr">
        <is>
          <t>Day 69</t>
        </is>
      </c>
      <c r="I329" s="10" t="inlineStr">
        <is>
          <t>☐ Not Started</t>
        </is>
      </c>
      <c r="J329" s="10" t="inlineStr">
        <is>
          <t>Day 73</t>
        </is>
      </c>
      <c r="K329" s="10" t="inlineStr">
        <is>
          <t>☐ Not Started</t>
        </is>
      </c>
      <c r="L329" s="10" t="inlineStr"/>
    </row>
    <row r="330">
      <c r="A330" s="9" t="inlineStr">
        <is>
          <t>Prompt Engineering</t>
        </is>
      </c>
      <c r="B330" s="9" t="inlineStr">
        <is>
          <t>Techniques</t>
        </is>
      </c>
      <c r="C330" s="9" t="inlineStr">
        <is>
          <t>Prompt optimization</t>
        </is>
      </c>
      <c r="D330" s="10" t="inlineStr">
        <is>
          <t>Day 66</t>
        </is>
      </c>
      <c r="E330" s="10" t="inlineStr">
        <is>
          <t>30 min</t>
        </is>
      </c>
      <c r="F330" s="10" t="inlineStr">
        <is>
          <t>☐ Not Started</t>
        </is>
      </c>
      <c r="G330" s="10">
        <f>IF(F330="☑ Completed", "COMPLETED", "NOT STARTED")</f>
        <v/>
      </c>
      <c r="H330" s="10" t="inlineStr">
        <is>
          <t>Day 69</t>
        </is>
      </c>
      <c r="I330" s="10" t="inlineStr">
        <is>
          <t>☐ Not Started</t>
        </is>
      </c>
      <c r="J330" s="10" t="inlineStr">
        <is>
          <t>Day 73</t>
        </is>
      </c>
      <c r="K330" s="10" t="inlineStr">
        <is>
          <t>☐ Not Started</t>
        </is>
      </c>
      <c r="L330" s="10" t="inlineStr"/>
    </row>
    <row r="331">
      <c r="A331" s="9" t="inlineStr">
        <is>
          <t>Transformers</t>
        </is>
      </c>
      <c r="B331" s="9" t="inlineStr">
        <is>
          <t>Architecture</t>
        </is>
      </c>
      <c r="C331" s="9" t="inlineStr">
        <is>
          <t>Transformer</t>
        </is>
      </c>
      <c r="D331" s="10" t="inlineStr">
        <is>
          <t>Day 66</t>
        </is>
      </c>
      <c r="E331" s="10" t="inlineStr">
        <is>
          <t>30 min</t>
        </is>
      </c>
      <c r="F331" s="10" t="inlineStr">
        <is>
          <t>☐ Not Started</t>
        </is>
      </c>
      <c r="G331" s="10">
        <f>IF(F331="☑ Completed", "COMPLETED", "NOT STARTED")</f>
        <v/>
      </c>
      <c r="H331" s="10" t="inlineStr">
        <is>
          <t>Day 69</t>
        </is>
      </c>
      <c r="I331" s="10" t="inlineStr">
        <is>
          <t>☐ Not Started</t>
        </is>
      </c>
      <c r="J331" s="10" t="inlineStr">
        <is>
          <t>Day 73</t>
        </is>
      </c>
      <c r="K331" s="10" t="inlineStr">
        <is>
          <t>☐ Not Started</t>
        </is>
      </c>
      <c r="L331" s="10" t="inlineStr"/>
    </row>
    <row r="332">
      <c r="A332" s="9" t="inlineStr">
        <is>
          <t>Transformers</t>
        </is>
      </c>
      <c r="B332" s="9" t="inlineStr">
        <is>
          <t>Architecture</t>
        </is>
      </c>
      <c r="C332" s="9" t="inlineStr">
        <is>
          <t>Encoder</t>
        </is>
      </c>
      <c r="D332" s="10" t="inlineStr">
        <is>
          <t>Day 67</t>
        </is>
      </c>
      <c r="E332" s="10" t="inlineStr">
        <is>
          <t>45 min</t>
        </is>
      </c>
      <c r="F332" s="10" t="inlineStr">
        <is>
          <t>☐ Not Started</t>
        </is>
      </c>
      <c r="G332" s="10">
        <f>IF(F332="☑ Completed", "COMPLETED", "NOT STARTED")</f>
        <v/>
      </c>
      <c r="H332" s="10" t="inlineStr">
        <is>
          <t>Day 70</t>
        </is>
      </c>
      <c r="I332" s="10" t="inlineStr">
        <is>
          <t>☐ Not Started</t>
        </is>
      </c>
      <c r="J332" s="10" t="inlineStr">
        <is>
          <t>Day 74</t>
        </is>
      </c>
      <c r="K332" s="10" t="inlineStr">
        <is>
          <t>☐ Not Started</t>
        </is>
      </c>
      <c r="L332" s="10" t="inlineStr"/>
    </row>
    <row r="333">
      <c r="A333" s="9" t="inlineStr">
        <is>
          <t>Transformers</t>
        </is>
      </c>
      <c r="B333" s="9" t="inlineStr">
        <is>
          <t>Architecture</t>
        </is>
      </c>
      <c r="C333" s="9" t="inlineStr">
        <is>
          <t>Decoder</t>
        </is>
      </c>
      <c r="D333" s="10" t="inlineStr">
        <is>
          <t>Day 67</t>
        </is>
      </c>
      <c r="E333" s="10" t="inlineStr">
        <is>
          <t>30 min</t>
        </is>
      </c>
      <c r="F333" s="10" t="inlineStr">
        <is>
          <t>☐ Not Started</t>
        </is>
      </c>
      <c r="G333" s="10">
        <f>IF(F333="☑ Completed", "COMPLETED", "NOT STARTED")</f>
        <v/>
      </c>
      <c r="H333" s="10" t="inlineStr">
        <is>
          <t>Day 70</t>
        </is>
      </c>
      <c r="I333" s="10" t="inlineStr">
        <is>
          <t>☐ Not Started</t>
        </is>
      </c>
      <c r="J333" s="10" t="inlineStr">
        <is>
          <t>Day 74</t>
        </is>
      </c>
      <c r="K333" s="10" t="inlineStr">
        <is>
          <t>☐ Not Started</t>
        </is>
      </c>
      <c r="L333" s="10" t="inlineStr"/>
    </row>
    <row r="334">
      <c r="A334" s="9" t="inlineStr">
        <is>
          <t>Transformers</t>
        </is>
      </c>
      <c r="B334" s="9" t="inlineStr">
        <is>
          <t>Architecture</t>
        </is>
      </c>
      <c r="C334" s="9" t="inlineStr">
        <is>
          <t>Self-attention</t>
        </is>
      </c>
      <c r="D334" s="10" t="inlineStr">
        <is>
          <t>Day 67</t>
        </is>
      </c>
      <c r="E334" s="10" t="inlineStr">
        <is>
          <t>30 min</t>
        </is>
      </c>
      <c r="F334" s="10" t="inlineStr">
        <is>
          <t>☐ Not Started</t>
        </is>
      </c>
      <c r="G334" s="10">
        <f>IF(F334="☑ Completed", "COMPLETED", "NOT STARTED")</f>
        <v/>
      </c>
      <c r="H334" s="10" t="inlineStr">
        <is>
          <t>Day 70</t>
        </is>
      </c>
      <c r="I334" s="10" t="inlineStr">
        <is>
          <t>☐ Not Started</t>
        </is>
      </c>
      <c r="J334" s="10" t="inlineStr">
        <is>
          <t>Day 74</t>
        </is>
      </c>
      <c r="K334" s="10" t="inlineStr">
        <is>
          <t>☐ Not Started</t>
        </is>
      </c>
      <c r="L334" s="10" t="inlineStr"/>
    </row>
    <row r="335">
      <c r="A335" s="9" t="inlineStr">
        <is>
          <t>Transformers</t>
        </is>
      </c>
      <c r="B335" s="9" t="inlineStr">
        <is>
          <t>Architecture</t>
        </is>
      </c>
      <c r="C335" s="9" t="inlineStr">
        <is>
          <t>Multi-head attention</t>
        </is>
      </c>
      <c r="D335" s="10" t="inlineStr">
        <is>
          <t>Day 67</t>
        </is>
      </c>
      <c r="E335" s="10" t="inlineStr">
        <is>
          <t>30 min</t>
        </is>
      </c>
      <c r="F335" s="10" t="inlineStr">
        <is>
          <t>☐ Not Started</t>
        </is>
      </c>
      <c r="G335" s="10">
        <f>IF(F335="☑ Completed", "COMPLETED", "NOT STARTED")</f>
        <v/>
      </c>
      <c r="H335" s="10" t="inlineStr">
        <is>
          <t>Day 70</t>
        </is>
      </c>
      <c r="I335" s="10" t="inlineStr">
        <is>
          <t>☐ Not Started</t>
        </is>
      </c>
      <c r="J335" s="10" t="inlineStr">
        <is>
          <t>Day 74</t>
        </is>
      </c>
      <c r="K335" s="10" t="inlineStr">
        <is>
          <t>☐ Not Started</t>
        </is>
      </c>
      <c r="L335" s="10" t="inlineStr"/>
    </row>
    <row r="336">
      <c r="A336" s="9" t="inlineStr">
        <is>
          <t>Transformers</t>
        </is>
      </c>
      <c r="B336" s="9" t="inlineStr">
        <is>
          <t>Architecture</t>
        </is>
      </c>
      <c r="C336" s="9" t="inlineStr">
        <is>
          <t>Positional encoding</t>
        </is>
      </c>
      <c r="D336" s="10" t="inlineStr">
        <is>
          <t>Day 67</t>
        </is>
      </c>
      <c r="E336" s="10" t="inlineStr">
        <is>
          <t>30 min</t>
        </is>
      </c>
      <c r="F336" s="10" t="inlineStr">
        <is>
          <t>☐ Not Started</t>
        </is>
      </c>
      <c r="G336" s="10">
        <f>IF(F336="☑ Completed", "COMPLETED", "NOT STARTED")</f>
        <v/>
      </c>
      <c r="H336" s="10" t="inlineStr">
        <is>
          <t>Day 70</t>
        </is>
      </c>
      <c r="I336" s="10" t="inlineStr">
        <is>
          <t>☐ Not Started</t>
        </is>
      </c>
      <c r="J336" s="10" t="inlineStr">
        <is>
          <t>Day 74</t>
        </is>
      </c>
      <c r="K336" s="10" t="inlineStr">
        <is>
          <t>☐ Not Started</t>
        </is>
      </c>
      <c r="L336" s="10" t="inlineStr"/>
    </row>
    <row r="337">
      <c r="A337" s="9" t="inlineStr">
        <is>
          <t>Transformers</t>
        </is>
      </c>
      <c r="B337" s="9" t="inlineStr">
        <is>
          <t>Architecture</t>
        </is>
      </c>
      <c r="C337" s="9" t="inlineStr">
        <is>
          <t>BERT</t>
        </is>
      </c>
      <c r="D337" s="10" t="inlineStr">
        <is>
          <t>Day 68</t>
        </is>
      </c>
      <c r="E337" s="10" t="inlineStr">
        <is>
          <t>45 min</t>
        </is>
      </c>
      <c r="F337" s="10" t="inlineStr">
        <is>
          <t>☐ Not Started</t>
        </is>
      </c>
      <c r="G337" s="10">
        <f>IF(F337="☑ Completed", "COMPLETED", "NOT STARTED")</f>
        <v/>
      </c>
      <c r="H337" s="10" t="inlineStr">
        <is>
          <t>Day 71</t>
        </is>
      </c>
      <c r="I337" s="10" t="inlineStr">
        <is>
          <t>☐ Not Started</t>
        </is>
      </c>
      <c r="J337" s="10" t="inlineStr">
        <is>
          <t>Day 75</t>
        </is>
      </c>
      <c r="K337" s="10" t="inlineStr">
        <is>
          <t>☐ Not Started</t>
        </is>
      </c>
      <c r="L337" s="10" t="inlineStr"/>
    </row>
    <row r="338">
      <c r="A338" s="9" t="inlineStr">
        <is>
          <t>Transformers</t>
        </is>
      </c>
      <c r="B338" s="9" t="inlineStr">
        <is>
          <t>Architecture</t>
        </is>
      </c>
      <c r="C338" s="9" t="inlineStr">
        <is>
          <t>GPT</t>
        </is>
      </c>
      <c r="D338" s="10" t="inlineStr">
        <is>
          <t>Day 68</t>
        </is>
      </c>
      <c r="E338" s="10" t="inlineStr">
        <is>
          <t>30 min</t>
        </is>
      </c>
      <c r="F338" s="10" t="inlineStr">
        <is>
          <t>☐ Not Started</t>
        </is>
      </c>
      <c r="G338" s="10">
        <f>IF(F338="☑ Completed", "COMPLETED", "NOT STARTED")</f>
        <v/>
      </c>
      <c r="H338" s="10" t="inlineStr">
        <is>
          <t>Day 71</t>
        </is>
      </c>
      <c r="I338" s="10" t="inlineStr">
        <is>
          <t>☐ Not Started</t>
        </is>
      </c>
      <c r="J338" s="10" t="inlineStr">
        <is>
          <t>Day 75</t>
        </is>
      </c>
      <c r="K338" s="10" t="inlineStr">
        <is>
          <t>☐ Not Started</t>
        </is>
      </c>
      <c r="L338" s="10" t="inlineStr"/>
    </row>
    <row r="339">
      <c r="A339" s="9" t="inlineStr">
        <is>
          <t>Transformers</t>
        </is>
      </c>
      <c r="B339" s="9" t="inlineStr">
        <is>
          <t>Architecture</t>
        </is>
      </c>
      <c r="C339" s="9" t="inlineStr">
        <is>
          <t>T5</t>
        </is>
      </c>
      <c r="D339" s="10" t="inlineStr">
        <is>
          <t>Day 68</t>
        </is>
      </c>
      <c r="E339" s="10" t="inlineStr">
        <is>
          <t>30 min</t>
        </is>
      </c>
      <c r="F339" s="10" t="inlineStr">
        <is>
          <t>☐ Not Started</t>
        </is>
      </c>
      <c r="G339" s="10">
        <f>IF(F339="☑ Completed", "COMPLETED", "NOT STARTED")</f>
        <v/>
      </c>
      <c r="H339" s="10" t="inlineStr">
        <is>
          <t>Day 71</t>
        </is>
      </c>
      <c r="I339" s="10" t="inlineStr">
        <is>
          <t>☐ Not Started</t>
        </is>
      </c>
      <c r="J339" s="10" t="inlineStr">
        <is>
          <t>Day 75</t>
        </is>
      </c>
      <c r="K339" s="10" t="inlineStr">
        <is>
          <t>☐ Not Started</t>
        </is>
      </c>
      <c r="L339" s="10" t="inlineStr"/>
    </row>
    <row r="340">
      <c r="A340" s="9" t="inlineStr">
        <is>
          <t>Hugging Face</t>
        </is>
      </c>
      <c r="B340" s="9" t="inlineStr">
        <is>
          <t>Ecosystem</t>
        </is>
      </c>
      <c r="C340" s="9" t="inlineStr">
        <is>
          <t>Transformers library</t>
        </is>
      </c>
      <c r="D340" s="10" t="inlineStr">
        <is>
          <t>Day 68</t>
        </is>
      </c>
      <c r="E340" s="10" t="inlineStr">
        <is>
          <t>30 min</t>
        </is>
      </c>
      <c r="F340" s="10" t="inlineStr">
        <is>
          <t>☐ Not Started</t>
        </is>
      </c>
      <c r="G340" s="10">
        <f>IF(F340="☑ Completed", "COMPLETED", "NOT STARTED")</f>
        <v/>
      </c>
      <c r="H340" s="10" t="inlineStr">
        <is>
          <t>Day 71</t>
        </is>
      </c>
      <c r="I340" s="10" t="inlineStr">
        <is>
          <t>☐ Not Started</t>
        </is>
      </c>
      <c r="J340" s="10" t="inlineStr">
        <is>
          <t>Day 75</t>
        </is>
      </c>
      <c r="K340" s="10" t="inlineStr">
        <is>
          <t>☐ Not Started</t>
        </is>
      </c>
      <c r="L340" s="10" t="inlineStr"/>
    </row>
    <row r="341">
      <c r="A341" s="9" t="inlineStr">
        <is>
          <t>Hugging Face</t>
        </is>
      </c>
      <c r="B341" s="9" t="inlineStr">
        <is>
          <t>Ecosystem</t>
        </is>
      </c>
      <c r="C341" s="9" t="inlineStr">
        <is>
          <t>Tokenizer</t>
        </is>
      </c>
      <c r="D341" s="10" t="inlineStr">
        <is>
          <t>Day 68</t>
        </is>
      </c>
      <c r="E341" s="10" t="inlineStr">
        <is>
          <t>30 min</t>
        </is>
      </c>
      <c r="F341" s="10" t="inlineStr">
        <is>
          <t>☐ Not Started</t>
        </is>
      </c>
      <c r="G341" s="10">
        <f>IF(F341="☑ Completed", "COMPLETED", "NOT STARTED")</f>
        <v/>
      </c>
      <c r="H341" s="10" t="inlineStr">
        <is>
          <t>Day 71</t>
        </is>
      </c>
      <c r="I341" s="10" t="inlineStr">
        <is>
          <t>☐ Not Started</t>
        </is>
      </c>
      <c r="J341" s="10" t="inlineStr">
        <is>
          <t>Day 75</t>
        </is>
      </c>
      <c r="K341" s="10" t="inlineStr">
        <is>
          <t>☐ Not Started</t>
        </is>
      </c>
      <c r="L341" s="10" t="inlineStr"/>
    </row>
    <row r="342">
      <c r="A342" s="9" t="inlineStr">
        <is>
          <t>Hugging Face</t>
        </is>
      </c>
      <c r="B342" s="9" t="inlineStr">
        <is>
          <t>Ecosystem</t>
        </is>
      </c>
      <c r="C342" s="9" t="inlineStr">
        <is>
          <t>Model</t>
        </is>
      </c>
      <c r="D342" s="10" t="inlineStr">
        <is>
          <t>Day 69</t>
        </is>
      </c>
      <c r="E342" s="10" t="inlineStr">
        <is>
          <t>45 min</t>
        </is>
      </c>
      <c r="F342" s="10" t="inlineStr">
        <is>
          <t>☐ Not Started</t>
        </is>
      </c>
      <c r="G342" s="10">
        <f>IF(F342="☑ Completed", "COMPLETED", "NOT STARTED")</f>
        <v/>
      </c>
      <c r="H342" s="10" t="inlineStr">
        <is>
          <t>Day 72</t>
        </is>
      </c>
      <c r="I342" s="10" t="inlineStr">
        <is>
          <t>☐ Not Started</t>
        </is>
      </c>
      <c r="J342" s="10" t="inlineStr">
        <is>
          <t>Day 76</t>
        </is>
      </c>
      <c r="K342" s="10" t="inlineStr">
        <is>
          <t>☐ Not Started</t>
        </is>
      </c>
      <c r="L342" s="10" t="inlineStr"/>
    </row>
    <row r="343">
      <c r="A343" s="9" t="inlineStr">
        <is>
          <t>Hugging Face</t>
        </is>
      </c>
      <c r="B343" s="9" t="inlineStr">
        <is>
          <t>Ecosystem</t>
        </is>
      </c>
      <c r="C343" s="9" t="inlineStr">
        <is>
          <t>Pipeline</t>
        </is>
      </c>
      <c r="D343" s="10" t="inlineStr">
        <is>
          <t>Day 69</t>
        </is>
      </c>
      <c r="E343" s="10" t="inlineStr">
        <is>
          <t>30 min</t>
        </is>
      </c>
      <c r="F343" s="10" t="inlineStr">
        <is>
          <t>☐ Not Started</t>
        </is>
      </c>
      <c r="G343" s="10">
        <f>IF(F343="☑ Completed", "COMPLETED", "NOT STARTED")</f>
        <v/>
      </c>
      <c r="H343" s="10" t="inlineStr">
        <is>
          <t>Day 72</t>
        </is>
      </c>
      <c r="I343" s="10" t="inlineStr">
        <is>
          <t>☐ Not Started</t>
        </is>
      </c>
      <c r="J343" s="10" t="inlineStr">
        <is>
          <t>Day 76</t>
        </is>
      </c>
      <c r="K343" s="10" t="inlineStr">
        <is>
          <t>☐ Not Started</t>
        </is>
      </c>
      <c r="L343" s="10" t="inlineStr"/>
    </row>
    <row r="344">
      <c r="A344" s="9" t="inlineStr">
        <is>
          <t>Hugging Face</t>
        </is>
      </c>
      <c r="B344" s="9" t="inlineStr">
        <is>
          <t>Ecosystem</t>
        </is>
      </c>
      <c r="C344" s="9" t="inlineStr">
        <is>
          <t>Model loading</t>
        </is>
      </c>
      <c r="D344" s="10" t="inlineStr">
        <is>
          <t>Day 69</t>
        </is>
      </c>
      <c r="E344" s="10" t="inlineStr">
        <is>
          <t>30 min</t>
        </is>
      </c>
      <c r="F344" s="10" t="inlineStr">
        <is>
          <t>☐ Not Started</t>
        </is>
      </c>
      <c r="G344" s="10">
        <f>IF(F344="☑ Completed", "COMPLETED", "NOT STARTED")</f>
        <v/>
      </c>
      <c r="H344" s="10" t="inlineStr">
        <is>
          <t>Day 72</t>
        </is>
      </c>
      <c r="I344" s="10" t="inlineStr">
        <is>
          <t>☐ Not Started</t>
        </is>
      </c>
      <c r="J344" s="10" t="inlineStr">
        <is>
          <t>Day 76</t>
        </is>
      </c>
      <c r="K344" s="10" t="inlineStr">
        <is>
          <t>☐ Not Started</t>
        </is>
      </c>
      <c r="L344" s="10" t="inlineStr"/>
    </row>
    <row r="345">
      <c r="A345" s="9" t="inlineStr">
        <is>
          <t>Hugging Face</t>
        </is>
      </c>
      <c r="B345" s="9" t="inlineStr">
        <is>
          <t>Ecosystem</t>
        </is>
      </c>
      <c r="C345" s="9" t="inlineStr">
        <is>
          <t>Inference</t>
        </is>
      </c>
      <c r="D345" s="10" t="inlineStr">
        <is>
          <t>Day 69</t>
        </is>
      </c>
      <c r="E345" s="10" t="inlineStr">
        <is>
          <t>30 min</t>
        </is>
      </c>
      <c r="F345" s="10" t="inlineStr">
        <is>
          <t>☐ Not Started</t>
        </is>
      </c>
      <c r="G345" s="10">
        <f>IF(F345="☑ Completed", "COMPLETED", "NOT STARTED")</f>
        <v/>
      </c>
      <c r="H345" s="10" t="inlineStr">
        <is>
          <t>Day 72</t>
        </is>
      </c>
      <c r="I345" s="10" t="inlineStr">
        <is>
          <t>☐ Not Started</t>
        </is>
      </c>
      <c r="J345" s="10" t="inlineStr">
        <is>
          <t>Day 76</t>
        </is>
      </c>
      <c r="K345" s="10" t="inlineStr">
        <is>
          <t>☐ Not Started</t>
        </is>
      </c>
      <c r="L345" s="10" t="inlineStr"/>
    </row>
    <row r="346">
      <c r="A346" s="9" t="inlineStr">
        <is>
          <t>Hugging Face</t>
        </is>
      </c>
      <c r="B346" s="9" t="inlineStr">
        <is>
          <t>Ecosystem</t>
        </is>
      </c>
      <c r="C346" s="9" t="inlineStr">
        <is>
          <t>Model selection</t>
        </is>
      </c>
      <c r="D346" s="10" t="inlineStr">
        <is>
          <t>Day 69</t>
        </is>
      </c>
      <c r="E346" s="10" t="inlineStr">
        <is>
          <t>30 min</t>
        </is>
      </c>
      <c r="F346" s="10" t="inlineStr">
        <is>
          <t>☐ Not Started</t>
        </is>
      </c>
      <c r="G346" s="10">
        <f>IF(F346="☑ Completed", "COMPLETED", "NOT STARTED")</f>
        <v/>
      </c>
      <c r="H346" s="10" t="inlineStr">
        <is>
          <t>Day 72</t>
        </is>
      </c>
      <c r="I346" s="10" t="inlineStr">
        <is>
          <t>☐ Not Started</t>
        </is>
      </c>
      <c r="J346" s="10" t="inlineStr">
        <is>
          <t>Day 76</t>
        </is>
      </c>
      <c r="K346" s="10" t="inlineStr">
        <is>
          <t>☐ Not Started</t>
        </is>
      </c>
      <c r="L346" s="10" t="inlineStr"/>
    </row>
    <row r="347">
      <c r="A347" s="9" t="inlineStr">
        <is>
          <t>Fine-Tuning</t>
        </is>
      </c>
      <c r="B347" s="9" t="inlineStr">
        <is>
          <t>Concepts</t>
        </is>
      </c>
      <c r="C347" s="9" t="inlineStr">
        <is>
          <t>Fine-tuning</t>
        </is>
      </c>
      <c r="D347" s="10" t="inlineStr">
        <is>
          <t>Day 70</t>
        </is>
      </c>
      <c r="E347" s="10" t="inlineStr">
        <is>
          <t>45 min</t>
        </is>
      </c>
      <c r="F347" s="10" t="inlineStr">
        <is>
          <t>☐ Not Started</t>
        </is>
      </c>
      <c r="G347" s="10">
        <f>IF(F347="☑ Completed", "COMPLETED", "NOT STARTED")</f>
        <v/>
      </c>
      <c r="H347" s="10" t="inlineStr">
        <is>
          <t>Day 73</t>
        </is>
      </c>
      <c r="I347" s="10" t="inlineStr">
        <is>
          <t>☐ Not Started</t>
        </is>
      </c>
      <c r="J347" s="10" t="inlineStr">
        <is>
          <t>Day 77</t>
        </is>
      </c>
      <c r="K347" s="10" t="inlineStr">
        <is>
          <t>☐ Not Started</t>
        </is>
      </c>
      <c r="L347" s="10" t="inlineStr"/>
    </row>
    <row r="348">
      <c r="A348" s="9" t="inlineStr">
        <is>
          <t>Fine-Tuning</t>
        </is>
      </c>
      <c r="B348" s="9" t="inlineStr">
        <is>
          <t>Concepts</t>
        </is>
      </c>
      <c r="C348" s="9" t="inlineStr">
        <is>
          <t>Transfer learning</t>
        </is>
      </c>
      <c r="D348" s="10" t="inlineStr">
        <is>
          <t>Day 70</t>
        </is>
      </c>
      <c r="E348" s="10" t="inlineStr">
        <is>
          <t>30 min</t>
        </is>
      </c>
      <c r="F348" s="10" t="inlineStr">
        <is>
          <t>☐ Not Started</t>
        </is>
      </c>
      <c r="G348" s="10">
        <f>IF(F348="☑ Completed", "COMPLETED", "NOT STARTED")</f>
        <v/>
      </c>
      <c r="H348" s="10" t="inlineStr">
        <is>
          <t>Day 73</t>
        </is>
      </c>
      <c r="I348" s="10" t="inlineStr">
        <is>
          <t>☐ Not Started</t>
        </is>
      </c>
      <c r="J348" s="10" t="inlineStr">
        <is>
          <t>Day 77</t>
        </is>
      </c>
      <c r="K348" s="10" t="inlineStr">
        <is>
          <t>☐ Not Started</t>
        </is>
      </c>
      <c r="L348" s="10" t="inlineStr"/>
    </row>
    <row r="349">
      <c r="A349" s="9" t="inlineStr">
        <is>
          <t>Fine-Tuning</t>
        </is>
      </c>
      <c r="B349" s="9" t="inlineStr">
        <is>
          <t>Concepts</t>
        </is>
      </c>
      <c r="C349" s="9" t="inlineStr">
        <is>
          <t>LoRA</t>
        </is>
      </c>
      <c r="D349" s="10" t="inlineStr">
        <is>
          <t>Day 70</t>
        </is>
      </c>
      <c r="E349" s="10" t="inlineStr">
        <is>
          <t>30 min</t>
        </is>
      </c>
      <c r="F349" s="10" t="inlineStr">
        <is>
          <t>☐ Not Started</t>
        </is>
      </c>
      <c r="G349" s="10">
        <f>IF(F349="☑ Completed", "COMPLETED", "NOT STARTED")</f>
        <v/>
      </c>
      <c r="H349" s="10" t="inlineStr">
        <is>
          <t>Day 73</t>
        </is>
      </c>
      <c r="I349" s="10" t="inlineStr">
        <is>
          <t>☐ Not Started</t>
        </is>
      </c>
      <c r="J349" s="10" t="inlineStr">
        <is>
          <t>Day 77</t>
        </is>
      </c>
      <c r="K349" s="10" t="inlineStr">
        <is>
          <t>☐ Not Started</t>
        </is>
      </c>
      <c r="L349" s="10" t="inlineStr"/>
    </row>
    <row r="350">
      <c r="A350" s="9" t="inlineStr">
        <is>
          <t>Fine-Tuning</t>
        </is>
      </c>
      <c r="B350" s="9" t="inlineStr">
        <is>
          <t>Concepts</t>
        </is>
      </c>
      <c r="C350" s="9" t="inlineStr">
        <is>
          <t>PEFT</t>
        </is>
      </c>
      <c r="D350" s="10" t="inlineStr">
        <is>
          <t>Day 70</t>
        </is>
      </c>
      <c r="E350" s="10" t="inlineStr">
        <is>
          <t>30 min</t>
        </is>
      </c>
      <c r="F350" s="10" t="inlineStr">
        <is>
          <t>☐ Not Started</t>
        </is>
      </c>
      <c r="G350" s="10">
        <f>IF(F350="☑ Completed", "COMPLETED", "NOT STARTED")</f>
        <v/>
      </c>
      <c r="H350" s="10" t="inlineStr">
        <is>
          <t>Day 73</t>
        </is>
      </c>
      <c r="I350" s="10" t="inlineStr">
        <is>
          <t>☐ Not Started</t>
        </is>
      </c>
      <c r="J350" s="10" t="inlineStr">
        <is>
          <t>Day 77</t>
        </is>
      </c>
      <c r="K350" s="10" t="inlineStr">
        <is>
          <t>☐ Not Started</t>
        </is>
      </c>
      <c r="L350" s="10" t="inlineStr"/>
    </row>
    <row r="351">
      <c r="A351" s="9" t="inlineStr">
        <is>
          <t>Fine-Tuning</t>
        </is>
      </c>
      <c r="B351" s="9" t="inlineStr">
        <is>
          <t>Concepts</t>
        </is>
      </c>
      <c r="C351" s="9" t="inlineStr">
        <is>
          <t>QLoRA</t>
        </is>
      </c>
      <c r="D351" s="10" t="inlineStr">
        <is>
          <t>Day 70</t>
        </is>
      </c>
      <c r="E351" s="10" t="inlineStr">
        <is>
          <t>30 min</t>
        </is>
      </c>
      <c r="F351" s="10" t="inlineStr">
        <is>
          <t>☐ Not Started</t>
        </is>
      </c>
      <c r="G351" s="10">
        <f>IF(F351="☑ Completed", "COMPLETED", "NOT STARTED")</f>
        <v/>
      </c>
      <c r="H351" s="10" t="inlineStr">
        <is>
          <t>Day 73</t>
        </is>
      </c>
      <c r="I351" s="10" t="inlineStr">
        <is>
          <t>☐ Not Started</t>
        </is>
      </c>
      <c r="J351" s="10" t="inlineStr">
        <is>
          <t>Day 77</t>
        </is>
      </c>
      <c r="K351" s="10" t="inlineStr">
        <is>
          <t>☐ Not Started</t>
        </is>
      </c>
      <c r="L351" s="10" t="inlineStr"/>
    </row>
    <row r="352">
      <c r="A352" s="9" t="inlineStr">
        <is>
          <t>Fine-Tuning</t>
        </is>
      </c>
      <c r="B352" s="9" t="inlineStr">
        <is>
          <t>Concepts</t>
        </is>
      </c>
      <c r="C352" s="9" t="inlineStr">
        <is>
          <t>Fine-tuning vs RAG</t>
        </is>
      </c>
      <c r="D352" s="10" t="inlineStr">
        <is>
          <t>Day 71</t>
        </is>
      </c>
      <c r="E352" s="10" t="inlineStr">
        <is>
          <t>45 min</t>
        </is>
      </c>
      <c r="F352" s="10" t="inlineStr">
        <is>
          <t>☐ Not Started</t>
        </is>
      </c>
      <c r="G352" s="10">
        <f>IF(F352="☑ Completed", "COMPLETED", "NOT STARTED")</f>
        <v/>
      </c>
      <c r="H352" s="10" t="inlineStr">
        <is>
          <t>Day 74</t>
        </is>
      </c>
      <c r="I352" s="10" t="inlineStr">
        <is>
          <t>☐ Not Started</t>
        </is>
      </c>
      <c r="J352" s="10" t="inlineStr">
        <is>
          <t>Day 78</t>
        </is>
      </c>
      <c r="K352" s="10" t="inlineStr">
        <is>
          <t>☐ Not Started</t>
        </is>
      </c>
      <c r="L352" s="10" t="inlineStr"/>
    </row>
    <row r="353">
      <c r="A353" s="9" t="inlineStr">
        <is>
          <t>RAG</t>
        </is>
      </c>
      <c r="B353" s="9" t="inlineStr">
        <is>
          <t>Concepts</t>
        </is>
      </c>
      <c r="C353" s="9" t="inlineStr">
        <is>
          <t>RAG concept</t>
        </is>
      </c>
      <c r="D353" s="10" t="inlineStr">
        <is>
          <t>Day 71</t>
        </is>
      </c>
      <c r="E353" s="10" t="inlineStr">
        <is>
          <t>30 min</t>
        </is>
      </c>
      <c r="F353" s="10" t="inlineStr">
        <is>
          <t>☐ Not Started</t>
        </is>
      </c>
      <c r="G353" s="10">
        <f>IF(F353="☑ Completed", "COMPLETED", "NOT STARTED")</f>
        <v/>
      </c>
      <c r="H353" s="10" t="inlineStr">
        <is>
          <t>Day 74</t>
        </is>
      </c>
      <c r="I353" s="10" t="inlineStr">
        <is>
          <t>☐ Not Started</t>
        </is>
      </c>
      <c r="J353" s="10" t="inlineStr">
        <is>
          <t>Day 78</t>
        </is>
      </c>
      <c r="K353" s="10" t="inlineStr">
        <is>
          <t>☐ Not Started</t>
        </is>
      </c>
      <c r="L353" s="10" t="inlineStr"/>
    </row>
    <row r="354">
      <c r="A354" s="9" t="inlineStr">
        <is>
          <t>RAG</t>
        </is>
      </c>
      <c r="B354" s="9" t="inlineStr">
        <is>
          <t>Concepts</t>
        </is>
      </c>
      <c r="C354" s="9" t="inlineStr">
        <is>
          <t>RAG architecture</t>
        </is>
      </c>
      <c r="D354" s="10" t="inlineStr">
        <is>
          <t>Day 71</t>
        </is>
      </c>
      <c r="E354" s="10" t="inlineStr">
        <is>
          <t>30 min</t>
        </is>
      </c>
      <c r="F354" s="10" t="inlineStr">
        <is>
          <t>☐ Not Started</t>
        </is>
      </c>
      <c r="G354" s="10">
        <f>IF(F354="☑ Completed", "COMPLETED", "NOT STARTED")</f>
        <v/>
      </c>
      <c r="H354" s="10" t="inlineStr">
        <is>
          <t>Day 74</t>
        </is>
      </c>
      <c r="I354" s="10" t="inlineStr">
        <is>
          <t>☐ Not Started</t>
        </is>
      </c>
      <c r="J354" s="10" t="inlineStr">
        <is>
          <t>Day 78</t>
        </is>
      </c>
      <c r="K354" s="10" t="inlineStr">
        <is>
          <t>☐ Not Started</t>
        </is>
      </c>
      <c r="L354" s="10" t="inlineStr"/>
    </row>
    <row r="355">
      <c r="A355" s="9" t="inlineStr">
        <is>
          <t>RAG</t>
        </is>
      </c>
      <c r="B355" s="9" t="inlineStr">
        <is>
          <t>Concepts</t>
        </is>
      </c>
      <c r="C355" s="9" t="inlineStr">
        <is>
          <t>Document loaders</t>
        </is>
      </c>
      <c r="D355" s="10" t="inlineStr">
        <is>
          <t>Day 71</t>
        </is>
      </c>
      <c r="E355" s="10" t="inlineStr">
        <is>
          <t>30 min</t>
        </is>
      </c>
      <c r="F355" s="10" t="inlineStr">
        <is>
          <t>☐ Not Started</t>
        </is>
      </c>
      <c r="G355" s="10">
        <f>IF(F355="☑ Completed", "COMPLETED", "NOT STARTED")</f>
        <v/>
      </c>
      <c r="H355" s="10" t="inlineStr">
        <is>
          <t>Day 74</t>
        </is>
      </c>
      <c r="I355" s="10" t="inlineStr">
        <is>
          <t>☐ Not Started</t>
        </is>
      </c>
      <c r="J355" s="10" t="inlineStr">
        <is>
          <t>Day 78</t>
        </is>
      </c>
      <c r="K355" s="10" t="inlineStr">
        <is>
          <t>☐ Not Started</t>
        </is>
      </c>
      <c r="L355" s="10" t="inlineStr"/>
    </row>
    <row r="356">
      <c r="A356" s="9" t="inlineStr">
        <is>
          <t>RAG</t>
        </is>
      </c>
      <c r="B356" s="9" t="inlineStr">
        <is>
          <t>Concepts</t>
        </is>
      </c>
      <c r="C356" s="9" t="inlineStr">
        <is>
          <t>PDF loading</t>
        </is>
      </c>
      <c r="D356" s="10" t="inlineStr">
        <is>
          <t>Day 71</t>
        </is>
      </c>
      <c r="E356" s="10" t="inlineStr">
        <is>
          <t>30 min</t>
        </is>
      </c>
      <c r="F356" s="10" t="inlineStr">
        <is>
          <t>☐ Not Started</t>
        </is>
      </c>
      <c r="G356" s="10">
        <f>IF(F356="☑ Completed", "COMPLETED", "NOT STARTED")</f>
        <v/>
      </c>
      <c r="H356" s="10" t="inlineStr">
        <is>
          <t>Day 74</t>
        </is>
      </c>
      <c r="I356" s="10" t="inlineStr">
        <is>
          <t>☐ Not Started</t>
        </is>
      </c>
      <c r="J356" s="10" t="inlineStr">
        <is>
          <t>Day 78</t>
        </is>
      </c>
      <c r="K356" s="10" t="inlineStr">
        <is>
          <t>☐ Not Started</t>
        </is>
      </c>
      <c r="L356" s="10" t="inlineStr"/>
    </row>
    <row r="357">
      <c r="A357" s="9" t="inlineStr">
        <is>
          <t>RAG</t>
        </is>
      </c>
      <c r="B357" s="9" t="inlineStr">
        <is>
          <t>Concepts</t>
        </is>
      </c>
      <c r="C357" s="9" t="inlineStr">
        <is>
          <t>Text extraction</t>
        </is>
      </c>
      <c r="D357" s="10" t="inlineStr">
        <is>
          <t>Day 72</t>
        </is>
      </c>
      <c r="E357" s="10" t="inlineStr">
        <is>
          <t>45 min</t>
        </is>
      </c>
      <c r="F357" s="10" t="inlineStr">
        <is>
          <t>☐ Not Started</t>
        </is>
      </c>
      <c r="G357" s="10">
        <f>IF(F357="☑ Completed", "COMPLETED", "NOT STARTED")</f>
        <v/>
      </c>
      <c r="H357" s="10" t="inlineStr">
        <is>
          <t>Day 75</t>
        </is>
      </c>
      <c r="I357" s="10" t="inlineStr">
        <is>
          <t>☐ Not Started</t>
        </is>
      </c>
      <c r="J357" s="10" t="inlineStr">
        <is>
          <t>Day 79</t>
        </is>
      </c>
      <c r="K357" s="10" t="inlineStr">
        <is>
          <t>☐ Not Started</t>
        </is>
      </c>
      <c r="L357" s="10" t="inlineStr"/>
    </row>
    <row r="358">
      <c r="A358" s="9" t="inlineStr">
        <is>
          <t>RAG</t>
        </is>
      </c>
      <c r="B358" s="9" t="inlineStr">
        <is>
          <t>Concepts</t>
        </is>
      </c>
      <c r="C358" s="9" t="inlineStr">
        <is>
          <t>Text cleaning</t>
        </is>
      </c>
      <c r="D358" s="10" t="inlineStr">
        <is>
          <t>Day 72</t>
        </is>
      </c>
      <c r="E358" s="10" t="inlineStr">
        <is>
          <t>30 min</t>
        </is>
      </c>
      <c r="F358" s="10" t="inlineStr">
        <is>
          <t>☐ Not Started</t>
        </is>
      </c>
      <c r="G358" s="10">
        <f>IF(F358="☑ Completed", "COMPLETED", "NOT STARTED")</f>
        <v/>
      </c>
      <c r="H358" s="10" t="inlineStr">
        <is>
          <t>Day 75</t>
        </is>
      </c>
      <c r="I358" s="10" t="inlineStr">
        <is>
          <t>☐ Not Started</t>
        </is>
      </c>
      <c r="J358" s="10" t="inlineStr">
        <is>
          <t>Day 79</t>
        </is>
      </c>
      <c r="K358" s="10" t="inlineStr">
        <is>
          <t>☐ Not Started</t>
        </is>
      </c>
      <c r="L358" s="10" t="inlineStr"/>
    </row>
    <row r="359">
      <c r="A359" s="9" t="inlineStr">
        <is>
          <t>RAG</t>
        </is>
      </c>
      <c r="B359" s="9" t="inlineStr">
        <is>
          <t>Concepts</t>
        </is>
      </c>
      <c r="C359" s="9" t="inlineStr">
        <is>
          <t>Chunking</t>
        </is>
      </c>
      <c r="D359" s="10" t="inlineStr">
        <is>
          <t>Day 72</t>
        </is>
      </c>
      <c r="E359" s="10" t="inlineStr">
        <is>
          <t>30 min</t>
        </is>
      </c>
      <c r="F359" s="10" t="inlineStr">
        <is>
          <t>☐ Not Started</t>
        </is>
      </c>
      <c r="G359" s="10">
        <f>IF(F359="☑ Completed", "COMPLETED", "NOT STARTED")</f>
        <v/>
      </c>
      <c r="H359" s="10" t="inlineStr">
        <is>
          <t>Day 75</t>
        </is>
      </c>
      <c r="I359" s="10" t="inlineStr">
        <is>
          <t>☐ Not Started</t>
        </is>
      </c>
      <c r="J359" s="10" t="inlineStr">
        <is>
          <t>Day 79</t>
        </is>
      </c>
      <c r="K359" s="10" t="inlineStr">
        <is>
          <t>☐ Not Started</t>
        </is>
      </c>
      <c r="L359" s="10" t="inlineStr"/>
    </row>
    <row r="360">
      <c r="A360" s="9" t="inlineStr">
        <is>
          <t>RAG</t>
        </is>
      </c>
      <c r="B360" s="9" t="inlineStr">
        <is>
          <t>Concepts</t>
        </is>
      </c>
      <c r="C360" s="9" t="inlineStr">
        <is>
          <t>Chunk size</t>
        </is>
      </c>
      <c r="D360" s="10" t="inlineStr">
        <is>
          <t>Day 72</t>
        </is>
      </c>
      <c r="E360" s="10" t="inlineStr">
        <is>
          <t>30 min</t>
        </is>
      </c>
      <c r="F360" s="10" t="inlineStr">
        <is>
          <t>☐ Not Started</t>
        </is>
      </c>
      <c r="G360" s="10">
        <f>IF(F360="☑ Completed", "COMPLETED", "NOT STARTED")</f>
        <v/>
      </c>
      <c r="H360" s="10" t="inlineStr">
        <is>
          <t>Day 75</t>
        </is>
      </c>
      <c r="I360" s="10" t="inlineStr">
        <is>
          <t>☐ Not Started</t>
        </is>
      </c>
      <c r="J360" s="10" t="inlineStr">
        <is>
          <t>Day 79</t>
        </is>
      </c>
      <c r="K360" s="10" t="inlineStr">
        <is>
          <t>☐ Not Started</t>
        </is>
      </c>
      <c r="L360" s="10" t="inlineStr"/>
    </row>
    <row r="361">
      <c r="A361" s="9" t="inlineStr">
        <is>
          <t>RAG</t>
        </is>
      </c>
      <c r="B361" s="9" t="inlineStr">
        <is>
          <t>Concepts</t>
        </is>
      </c>
      <c r="C361" s="9" t="inlineStr">
        <is>
          <t>Chunk overlap</t>
        </is>
      </c>
      <c r="D361" s="10" t="inlineStr">
        <is>
          <t>Day 72</t>
        </is>
      </c>
      <c r="E361" s="10" t="inlineStr">
        <is>
          <t>30 min</t>
        </is>
      </c>
      <c r="F361" s="10" t="inlineStr">
        <is>
          <t>☐ Not Started</t>
        </is>
      </c>
      <c r="G361" s="10">
        <f>IF(F361="☑ Completed", "COMPLETED", "NOT STARTED")</f>
        <v/>
      </c>
      <c r="H361" s="10" t="inlineStr">
        <is>
          <t>Day 75</t>
        </is>
      </c>
      <c r="I361" s="10" t="inlineStr">
        <is>
          <t>☐ Not Started</t>
        </is>
      </c>
      <c r="J361" s="10" t="inlineStr">
        <is>
          <t>Day 79</t>
        </is>
      </c>
      <c r="K361" s="10" t="inlineStr">
        <is>
          <t>☐ Not Started</t>
        </is>
      </c>
      <c r="L361" s="10" t="inlineStr"/>
    </row>
    <row r="362">
      <c r="A362" s="9" t="inlineStr">
        <is>
          <t>RAG</t>
        </is>
      </c>
      <c r="B362" s="9" t="inlineStr">
        <is>
          <t>Concepts</t>
        </is>
      </c>
      <c r="C362" s="9" t="inlineStr">
        <is>
          <t>Embeddings</t>
        </is>
      </c>
      <c r="D362" s="10" t="inlineStr">
        <is>
          <t>Day 73</t>
        </is>
      </c>
      <c r="E362" s="10" t="inlineStr">
        <is>
          <t>45 min</t>
        </is>
      </c>
      <c r="F362" s="10" t="inlineStr">
        <is>
          <t>☐ Not Started</t>
        </is>
      </c>
      <c r="G362" s="10">
        <f>IF(F362="☑ Completed", "COMPLETED", "NOT STARTED")</f>
        <v/>
      </c>
      <c r="H362" s="10" t="inlineStr">
        <is>
          <t>Day 76</t>
        </is>
      </c>
      <c r="I362" s="10" t="inlineStr">
        <is>
          <t>☐ Not Started</t>
        </is>
      </c>
      <c r="J362" s="10" t="inlineStr">
        <is>
          <t>Day 80</t>
        </is>
      </c>
      <c r="K362" s="10" t="inlineStr">
        <is>
          <t>☐ Not Started</t>
        </is>
      </c>
      <c r="L362" s="10" t="inlineStr"/>
    </row>
    <row r="363">
      <c r="A363" s="9" t="inlineStr">
        <is>
          <t>RAG</t>
        </is>
      </c>
      <c r="B363" s="9" t="inlineStr">
        <is>
          <t>Concepts</t>
        </is>
      </c>
      <c r="C363" s="9" t="inlineStr">
        <is>
          <t>Vector database</t>
        </is>
      </c>
      <c r="D363" s="10" t="inlineStr">
        <is>
          <t>Day 73</t>
        </is>
      </c>
      <c r="E363" s="10" t="inlineStr">
        <is>
          <t>30 min</t>
        </is>
      </c>
      <c r="F363" s="10" t="inlineStr">
        <is>
          <t>☐ Not Started</t>
        </is>
      </c>
      <c r="G363" s="10">
        <f>IF(F363="☑ Completed", "COMPLETED", "NOT STARTED")</f>
        <v/>
      </c>
      <c r="H363" s="10" t="inlineStr">
        <is>
          <t>Day 76</t>
        </is>
      </c>
      <c r="I363" s="10" t="inlineStr">
        <is>
          <t>☐ Not Started</t>
        </is>
      </c>
      <c r="J363" s="10" t="inlineStr">
        <is>
          <t>Day 80</t>
        </is>
      </c>
      <c r="K363" s="10" t="inlineStr">
        <is>
          <t>☐ Not Started</t>
        </is>
      </c>
      <c r="L363" s="10" t="inlineStr"/>
    </row>
    <row r="364">
      <c r="A364" s="9" t="inlineStr">
        <is>
          <t>RAG</t>
        </is>
      </c>
      <c r="B364" s="9" t="inlineStr">
        <is>
          <t>Concepts</t>
        </is>
      </c>
      <c r="C364" s="9" t="inlineStr">
        <is>
          <t>Vector search</t>
        </is>
      </c>
      <c r="D364" s="10" t="inlineStr">
        <is>
          <t>Day 73</t>
        </is>
      </c>
      <c r="E364" s="10" t="inlineStr">
        <is>
          <t>30 min</t>
        </is>
      </c>
      <c r="F364" s="10" t="inlineStr">
        <is>
          <t>☐ Not Started</t>
        </is>
      </c>
      <c r="G364" s="10">
        <f>IF(F364="☑ Completed", "COMPLETED", "NOT STARTED")</f>
        <v/>
      </c>
      <c r="H364" s="10" t="inlineStr">
        <is>
          <t>Day 76</t>
        </is>
      </c>
      <c r="I364" s="10" t="inlineStr">
        <is>
          <t>☐ Not Started</t>
        </is>
      </c>
      <c r="J364" s="10" t="inlineStr">
        <is>
          <t>Day 80</t>
        </is>
      </c>
      <c r="K364" s="10" t="inlineStr">
        <is>
          <t>☐ Not Started</t>
        </is>
      </c>
      <c r="L364" s="10" t="inlineStr"/>
    </row>
    <row r="365">
      <c r="A365" s="9" t="inlineStr">
        <is>
          <t>RAG</t>
        </is>
      </c>
      <c r="B365" s="9" t="inlineStr">
        <is>
          <t>Concepts</t>
        </is>
      </c>
      <c r="C365" s="9" t="inlineStr">
        <is>
          <t>Similarity search</t>
        </is>
      </c>
      <c r="D365" s="10" t="inlineStr">
        <is>
          <t>Day 73</t>
        </is>
      </c>
      <c r="E365" s="10" t="inlineStr">
        <is>
          <t>30 min</t>
        </is>
      </c>
      <c r="F365" s="10" t="inlineStr">
        <is>
          <t>☐ Not Started</t>
        </is>
      </c>
      <c r="G365" s="10">
        <f>IF(F365="☑ Completed", "COMPLETED", "NOT STARTED")</f>
        <v/>
      </c>
      <c r="H365" s="10" t="inlineStr">
        <is>
          <t>Day 76</t>
        </is>
      </c>
      <c r="I365" s="10" t="inlineStr">
        <is>
          <t>☐ Not Started</t>
        </is>
      </c>
      <c r="J365" s="10" t="inlineStr">
        <is>
          <t>Day 80</t>
        </is>
      </c>
      <c r="K365" s="10" t="inlineStr">
        <is>
          <t>☐ Not Started</t>
        </is>
      </c>
      <c r="L365" s="10" t="inlineStr"/>
    </row>
    <row r="366">
      <c r="A366" s="9" t="inlineStr">
        <is>
          <t>RAG</t>
        </is>
      </c>
      <c r="B366" s="9" t="inlineStr">
        <is>
          <t>Concepts</t>
        </is>
      </c>
      <c r="C366" s="9" t="inlineStr">
        <is>
          <t>Retriever</t>
        </is>
      </c>
      <c r="D366" s="10" t="inlineStr">
        <is>
          <t>Day 73</t>
        </is>
      </c>
      <c r="E366" s="10" t="inlineStr">
        <is>
          <t>30 min</t>
        </is>
      </c>
      <c r="F366" s="10" t="inlineStr">
        <is>
          <t>☐ Not Started</t>
        </is>
      </c>
      <c r="G366" s="10">
        <f>IF(F366="☑ Completed", "COMPLETED", "NOT STARTED")</f>
        <v/>
      </c>
      <c r="H366" s="10" t="inlineStr">
        <is>
          <t>Day 76</t>
        </is>
      </c>
      <c r="I366" s="10" t="inlineStr">
        <is>
          <t>☐ Not Started</t>
        </is>
      </c>
      <c r="J366" s="10" t="inlineStr">
        <is>
          <t>Day 80</t>
        </is>
      </c>
      <c r="K366" s="10" t="inlineStr">
        <is>
          <t>☐ Not Started</t>
        </is>
      </c>
      <c r="L366" s="10" t="inlineStr"/>
    </row>
    <row r="367">
      <c r="A367" s="9" t="inlineStr">
        <is>
          <t>RAG</t>
        </is>
      </c>
      <c r="B367" s="9" t="inlineStr">
        <is>
          <t>Concepts</t>
        </is>
      </c>
      <c r="C367" s="9" t="inlineStr">
        <is>
          <t>Metadata</t>
        </is>
      </c>
      <c r="D367" s="10" t="inlineStr">
        <is>
          <t>Day 74</t>
        </is>
      </c>
      <c r="E367" s="10" t="inlineStr">
        <is>
          <t>45 min</t>
        </is>
      </c>
      <c r="F367" s="10" t="inlineStr">
        <is>
          <t>☐ Not Started</t>
        </is>
      </c>
      <c r="G367" s="10">
        <f>IF(F367="☑ Completed", "COMPLETED", "NOT STARTED")</f>
        <v/>
      </c>
      <c r="H367" s="10" t="inlineStr">
        <is>
          <t>Day 77</t>
        </is>
      </c>
      <c r="I367" s="10" t="inlineStr">
        <is>
          <t>☐ Not Started</t>
        </is>
      </c>
      <c r="J367" s="10" t="inlineStr">
        <is>
          <t>Day 81</t>
        </is>
      </c>
      <c r="K367" s="10" t="inlineStr">
        <is>
          <t>☐ Not Started</t>
        </is>
      </c>
      <c r="L367" s="10" t="inlineStr"/>
    </row>
    <row r="368">
      <c r="A368" s="9" t="inlineStr">
        <is>
          <t>RAG</t>
        </is>
      </c>
      <c r="B368" s="9" t="inlineStr">
        <is>
          <t>Concepts</t>
        </is>
      </c>
      <c r="C368" s="9" t="inlineStr">
        <is>
          <t>Context</t>
        </is>
      </c>
      <c r="D368" s="10" t="inlineStr">
        <is>
          <t>Day 74</t>
        </is>
      </c>
      <c r="E368" s="10" t="inlineStr">
        <is>
          <t>30 min</t>
        </is>
      </c>
      <c r="F368" s="10" t="inlineStr">
        <is>
          <t>☐ Not Started</t>
        </is>
      </c>
      <c r="G368" s="10">
        <f>IF(F368="☑ Completed", "COMPLETED", "NOT STARTED")</f>
        <v/>
      </c>
      <c r="H368" s="10" t="inlineStr">
        <is>
          <t>Day 77</t>
        </is>
      </c>
      <c r="I368" s="10" t="inlineStr">
        <is>
          <t>☐ Not Started</t>
        </is>
      </c>
      <c r="J368" s="10" t="inlineStr">
        <is>
          <t>Day 81</t>
        </is>
      </c>
      <c r="K368" s="10" t="inlineStr">
        <is>
          <t>☐ Not Started</t>
        </is>
      </c>
      <c r="L368" s="10" t="inlineStr"/>
    </row>
    <row r="369">
      <c r="A369" s="9" t="inlineStr">
        <is>
          <t>RAG</t>
        </is>
      </c>
      <c r="B369" s="9" t="inlineStr">
        <is>
          <t>Concepts</t>
        </is>
      </c>
      <c r="C369" s="9" t="inlineStr">
        <is>
          <t>Prompt + context</t>
        </is>
      </c>
      <c r="D369" s="10" t="inlineStr">
        <is>
          <t>Day 74</t>
        </is>
      </c>
      <c r="E369" s="10" t="inlineStr">
        <is>
          <t>30 min</t>
        </is>
      </c>
      <c r="F369" s="10" t="inlineStr">
        <is>
          <t>☐ Not Started</t>
        </is>
      </c>
      <c r="G369" s="10">
        <f>IF(F369="☑ Completed", "COMPLETED", "NOT STARTED")</f>
        <v/>
      </c>
      <c r="H369" s="10" t="inlineStr">
        <is>
          <t>Day 77</t>
        </is>
      </c>
      <c r="I369" s="10" t="inlineStr">
        <is>
          <t>☐ Not Started</t>
        </is>
      </c>
      <c r="J369" s="10" t="inlineStr">
        <is>
          <t>Day 81</t>
        </is>
      </c>
      <c r="K369" s="10" t="inlineStr">
        <is>
          <t>☐ Not Started</t>
        </is>
      </c>
      <c r="L369" s="10" t="inlineStr"/>
    </row>
    <row r="370">
      <c r="A370" s="9" t="inlineStr">
        <is>
          <t>RAG</t>
        </is>
      </c>
      <c r="B370" s="9" t="inlineStr">
        <is>
          <t>Concepts</t>
        </is>
      </c>
      <c r="C370" s="9" t="inlineStr">
        <is>
          <t>Hallucination reduction</t>
        </is>
      </c>
      <c r="D370" s="10" t="inlineStr">
        <is>
          <t>Day 74</t>
        </is>
      </c>
      <c r="E370" s="10" t="inlineStr">
        <is>
          <t>30 min</t>
        </is>
      </c>
      <c r="F370" s="10" t="inlineStr">
        <is>
          <t>☐ Not Started</t>
        </is>
      </c>
      <c r="G370" s="10">
        <f>IF(F370="☑ Completed", "COMPLETED", "NOT STARTED")</f>
        <v/>
      </c>
      <c r="H370" s="10" t="inlineStr">
        <is>
          <t>Day 77</t>
        </is>
      </c>
      <c r="I370" s="10" t="inlineStr">
        <is>
          <t>☐ Not Started</t>
        </is>
      </c>
      <c r="J370" s="10" t="inlineStr">
        <is>
          <t>Day 81</t>
        </is>
      </c>
      <c r="K370" s="10" t="inlineStr">
        <is>
          <t>☐ Not Started</t>
        </is>
      </c>
      <c r="L370" s="10" t="inlineStr"/>
    </row>
    <row r="371">
      <c r="A371" s="9" t="inlineStr">
        <is>
          <t>RAG</t>
        </is>
      </c>
      <c r="B371" s="9" t="inlineStr">
        <is>
          <t>Concepts</t>
        </is>
      </c>
      <c r="C371" s="9" t="inlineStr">
        <is>
          <t>Retrieval quality</t>
        </is>
      </c>
      <c r="D371" s="10" t="inlineStr">
        <is>
          <t>Day 74</t>
        </is>
      </c>
      <c r="E371" s="10" t="inlineStr">
        <is>
          <t>30 min</t>
        </is>
      </c>
      <c r="F371" s="10" t="inlineStr">
        <is>
          <t>☐ Not Started</t>
        </is>
      </c>
      <c r="G371" s="10">
        <f>IF(F371="☑ Completed", "COMPLETED", "NOT STARTED")</f>
        <v/>
      </c>
      <c r="H371" s="10" t="inlineStr">
        <is>
          <t>Day 77</t>
        </is>
      </c>
      <c r="I371" s="10" t="inlineStr">
        <is>
          <t>☐ Not Started</t>
        </is>
      </c>
      <c r="J371" s="10" t="inlineStr">
        <is>
          <t>Day 81</t>
        </is>
      </c>
      <c r="K371" s="10" t="inlineStr">
        <is>
          <t>☐ Not Started</t>
        </is>
      </c>
      <c r="L371" s="10" t="inlineStr"/>
    </row>
    <row r="372">
      <c r="A372" s="9" t="inlineStr">
        <is>
          <t>RAG</t>
        </is>
      </c>
      <c r="B372" s="9" t="inlineStr">
        <is>
          <t>Concepts</t>
        </is>
      </c>
      <c r="C372" s="9" t="inlineStr">
        <is>
          <t>RAG evaluation</t>
        </is>
      </c>
      <c r="D372" s="10" t="inlineStr">
        <is>
          <t>Day 75</t>
        </is>
      </c>
      <c r="E372" s="10" t="inlineStr">
        <is>
          <t>45 min</t>
        </is>
      </c>
      <c r="F372" s="10" t="inlineStr">
        <is>
          <t>☐ Not Started</t>
        </is>
      </c>
      <c r="G372" s="10">
        <f>IF(F372="☑ Completed", "COMPLETED", "NOT STARTED")</f>
        <v/>
      </c>
      <c r="H372" s="10" t="inlineStr">
        <is>
          <t>Day 78</t>
        </is>
      </c>
      <c r="I372" s="10" t="inlineStr">
        <is>
          <t>☐ Not Started</t>
        </is>
      </c>
      <c r="J372" s="10" t="inlineStr">
        <is>
          <t>Day 82</t>
        </is>
      </c>
      <c r="K372" s="10" t="inlineStr">
        <is>
          <t>☐ Not Started</t>
        </is>
      </c>
      <c r="L372" s="10" t="inlineStr"/>
    </row>
    <row r="373">
      <c r="A373" s="9" t="inlineStr">
        <is>
          <t>Vector DB</t>
        </is>
      </c>
      <c r="B373" s="9" t="inlineStr">
        <is>
          <t>Tools</t>
        </is>
      </c>
      <c r="C373" s="9" t="inlineStr">
        <is>
          <t>FAISS</t>
        </is>
      </c>
      <c r="D373" s="10" t="inlineStr">
        <is>
          <t>Day 75</t>
        </is>
      </c>
      <c r="E373" s="10" t="inlineStr">
        <is>
          <t>30 min</t>
        </is>
      </c>
      <c r="F373" s="10" t="inlineStr">
        <is>
          <t>☐ Not Started</t>
        </is>
      </c>
      <c r="G373" s="10">
        <f>IF(F373="☑ Completed", "COMPLETED", "NOT STARTED")</f>
        <v/>
      </c>
      <c r="H373" s="10" t="inlineStr">
        <is>
          <t>Day 78</t>
        </is>
      </c>
      <c r="I373" s="10" t="inlineStr">
        <is>
          <t>☐ Not Started</t>
        </is>
      </c>
      <c r="J373" s="10" t="inlineStr">
        <is>
          <t>Day 82</t>
        </is>
      </c>
      <c r="K373" s="10" t="inlineStr">
        <is>
          <t>☐ Not Started</t>
        </is>
      </c>
      <c r="L373" s="10" t="inlineStr"/>
    </row>
    <row r="374">
      <c r="A374" s="9" t="inlineStr">
        <is>
          <t>Vector DB</t>
        </is>
      </c>
      <c r="B374" s="9" t="inlineStr">
        <is>
          <t>Tools</t>
        </is>
      </c>
      <c r="C374" s="9" t="inlineStr">
        <is>
          <t>Chroma</t>
        </is>
      </c>
      <c r="D374" s="10" t="inlineStr">
        <is>
          <t>Day 75</t>
        </is>
      </c>
      <c r="E374" s="10" t="inlineStr">
        <is>
          <t>30 min</t>
        </is>
      </c>
      <c r="F374" s="10" t="inlineStr">
        <is>
          <t>☐ Not Started</t>
        </is>
      </c>
      <c r="G374" s="10">
        <f>IF(F374="☑ Completed", "COMPLETED", "NOT STARTED")</f>
        <v/>
      </c>
      <c r="H374" s="10" t="inlineStr">
        <is>
          <t>Day 78</t>
        </is>
      </c>
      <c r="I374" s="10" t="inlineStr">
        <is>
          <t>☐ Not Started</t>
        </is>
      </c>
      <c r="J374" s="10" t="inlineStr">
        <is>
          <t>Day 82</t>
        </is>
      </c>
      <c r="K374" s="10" t="inlineStr">
        <is>
          <t>☐ Not Started</t>
        </is>
      </c>
      <c r="L374" s="10" t="inlineStr"/>
    </row>
    <row r="375">
      <c r="A375" s="9" t="inlineStr">
        <is>
          <t>Vector DB</t>
        </is>
      </c>
      <c r="B375" s="9" t="inlineStr">
        <is>
          <t>Tools</t>
        </is>
      </c>
      <c r="C375" s="9" t="inlineStr">
        <is>
          <t>Pinecone concept</t>
        </is>
      </c>
      <c r="D375" s="10" t="inlineStr">
        <is>
          <t>Day 75</t>
        </is>
      </c>
      <c r="E375" s="10" t="inlineStr">
        <is>
          <t>30 min</t>
        </is>
      </c>
      <c r="F375" s="10" t="inlineStr">
        <is>
          <t>☐ Not Started</t>
        </is>
      </c>
      <c r="G375" s="10">
        <f>IF(F375="☑ Completed", "COMPLETED", "NOT STARTED")</f>
        <v/>
      </c>
      <c r="H375" s="10" t="inlineStr">
        <is>
          <t>Day 78</t>
        </is>
      </c>
      <c r="I375" s="10" t="inlineStr">
        <is>
          <t>☐ Not Started</t>
        </is>
      </c>
      <c r="J375" s="10" t="inlineStr">
        <is>
          <t>Day 82</t>
        </is>
      </c>
      <c r="K375" s="10" t="inlineStr">
        <is>
          <t>☐ Not Started</t>
        </is>
      </c>
      <c r="L375" s="10" t="inlineStr"/>
    </row>
    <row r="376">
      <c r="A376" s="9" t="inlineStr">
        <is>
          <t>Vector DB</t>
        </is>
      </c>
      <c r="B376" s="9" t="inlineStr">
        <is>
          <t>Tools</t>
        </is>
      </c>
      <c r="C376" s="9" t="inlineStr">
        <is>
          <t>Weaviate concept</t>
        </is>
      </c>
      <c r="D376" s="10" t="inlineStr">
        <is>
          <t>Day 75</t>
        </is>
      </c>
      <c r="E376" s="10" t="inlineStr">
        <is>
          <t>30 min</t>
        </is>
      </c>
      <c r="F376" s="10" t="inlineStr">
        <is>
          <t>☐ Not Started</t>
        </is>
      </c>
      <c r="G376" s="10">
        <f>IF(F376="☑ Completed", "COMPLETED", "NOT STARTED")</f>
        <v/>
      </c>
      <c r="H376" s="10" t="inlineStr">
        <is>
          <t>Day 78</t>
        </is>
      </c>
      <c r="I376" s="10" t="inlineStr">
        <is>
          <t>☐ Not Started</t>
        </is>
      </c>
      <c r="J376" s="10" t="inlineStr">
        <is>
          <t>Day 82</t>
        </is>
      </c>
      <c r="K376" s="10" t="inlineStr">
        <is>
          <t>☐ Not Started</t>
        </is>
      </c>
      <c r="L376" s="10" t="inlineStr"/>
    </row>
    <row r="377">
      <c r="A377" s="9" t="inlineStr">
        <is>
          <t>LangChain</t>
        </is>
      </c>
      <c r="B377" s="9" t="inlineStr">
        <is>
          <t>Framework</t>
        </is>
      </c>
      <c r="C377" s="9" t="inlineStr">
        <is>
          <t>Prompt templates</t>
        </is>
      </c>
      <c r="D377" s="10" t="inlineStr">
        <is>
          <t>Day 76</t>
        </is>
      </c>
      <c r="E377" s="10" t="inlineStr">
        <is>
          <t>45 min</t>
        </is>
      </c>
      <c r="F377" s="10" t="inlineStr">
        <is>
          <t>☐ Not Started</t>
        </is>
      </c>
      <c r="G377" s="10">
        <f>IF(F377="☑ Completed", "COMPLETED", "NOT STARTED")</f>
        <v/>
      </c>
      <c r="H377" s="10" t="inlineStr">
        <is>
          <t>Day 79</t>
        </is>
      </c>
      <c r="I377" s="10" t="inlineStr">
        <is>
          <t>☐ Not Started</t>
        </is>
      </c>
      <c r="J377" s="10" t="inlineStr">
        <is>
          <t>Day 83</t>
        </is>
      </c>
      <c r="K377" s="10" t="inlineStr">
        <is>
          <t>☐ Not Started</t>
        </is>
      </c>
      <c r="L377" s="10" t="inlineStr"/>
    </row>
    <row r="378">
      <c r="A378" s="9" t="inlineStr">
        <is>
          <t>LangChain</t>
        </is>
      </c>
      <c r="B378" s="9" t="inlineStr">
        <is>
          <t>Framework</t>
        </is>
      </c>
      <c r="C378" s="9" t="inlineStr">
        <is>
          <t>Chains</t>
        </is>
      </c>
      <c r="D378" s="10" t="inlineStr">
        <is>
          <t>Day 76</t>
        </is>
      </c>
      <c r="E378" s="10" t="inlineStr">
        <is>
          <t>30 min</t>
        </is>
      </c>
      <c r="F378" s="10" t="inlineStr">
        <is>
          <t>☐ Not Started</t>
        </is>
      </c>
      <c r="G378" s="10">
        <f>IF(F378="☑ Completed", "COMPLETED", "NOT STARTED")</f>
        <v/>
      </c>
      <c r="H378" s="10" t="inlineStr">
        <is>
          <t>Day 79</t>
        </is>
      </c>
      <c r="I378" s="10" t="inlineStr">
        <is>
          <t>☐ Not Started</t>
        </is>
      </c>
      <c r="J378" s="10" t="inlineStr">
        <is>
          <t>Day 83</t>
        </is>
      </c>
      <c r="K378" s="10" t="inlineStr">
        <is>
          <t>☐ Not Started</t>
        </is>
      </c>
      <c r="L378" s="10" t="inlineStr"/>
    </row>
    <row r="379">
      <c r="A379" s="9" t="inlineStr">
        <is>
          <t>LangChain</t>
        </is>
      </c>
      <c r="B379" s="9" t="inlineStr">
        <is>
          <t>Framework</t>
        </is>
      </c>
      <c r="C379" s="9" t="inlineStr">
        <is>
          <t>Retrievers</t>
        </is>
      </c>
      <c r="D379" s="10" t="inlineStr">
        <is>
          <t>Day 76</t>
        </is>
      </c>
      <c r="E379" s="10" t="inlineStr">
        <is>
          <t>30 min</t>
        </is>
      </c>
      <c r="F379" s="10" t="inlineStr">
        <is>
          <t>☐ Not Started</t>
        </is>
      </c>
      <c r="G379" s="10">
        <f>IF(F379="☑ Completed", "COMPLETED", "NOT STARTED")</f>
        <v/>
      </c>
      <c r="H379" s="10" t="inlineStr">
        <is>
          <t>Day 79</t>
        </is>
      </c>
      <c r="I379" s="10" t="inlineStr">
        <is>
          <t>☐ Not Started</t>
        </is>
      </c>
      <c r="J379" s="10" t="inlineStr">
        <is>
          <t>Day 83</t>
        </is>
      </c>
      <c r="K379" s="10" t="inlineStr">
        <is>
          <t>☐ Not Started</t>
        </is>
      </c>
      <c r="L379" s="10" t="inlineStr"/>
    </row>
    <row r="380">
      <c r="A380" s="9" t="inlineStr">
        <is>
          <t>LangChain</t>
        </is>
      </c>
      <c r="B380" s="9" t="inlineStr">
        <is>
          <t>Framework</t>
        </is>
      </c>
      <c r="C380" s="9" t="inlineStr">
        <is>
          <t>Document loaders</t>
        </is>
      </c>
      <c r="D380" s="10" t="inlineStr">
        <is>
          <t>Day 76</t>
        </is>
      </c>
      <c r="E380" s="10" t="inlineStr">
        <is>
          <t>30 min</t>
        </is>
      </c>
      <c r="F380" s="10" t="inlineStr">
        <is>
          <t>☐ Not Started</t>
        </is>
      </c>
      <c r="G380" s="10">
        <f>IF(F380="☑ Completed", "COMPLETED", "NOT STARTED")</f>
        <v/>
      </c>
      <c r="H380" s="10" t="inlineStr">
        <is>
          <t>Day 79</t>
        </is>
      </c>
      <c r="I380" s="10" t="inlineStr">
        <is>
          <t>☐ Not Started</t>
        </is>
      </c>
      <c r="J380" s="10" t="inlineStr">
        <is>
          <t>Day 83</t>
        </is>
      </c>
      <c r="K380" s="10" t="inlineStr">
        <is>
          <t>☐ Not Started</t>
        </is>
      </c>
      <c r="L380" s="10" t="inlineStr"/>
    </row>
    <row r="381">
      <c r="A381" s="9" t="inlineStr">
        <is>
          <t>LangChain</t>
        </is>
      </c>
      <c r="B381" s="9" t="inlineStr">
        <is>
          <t>Framework</t>
        </is>
      </c>
      <c r="C381" s="9" t="inlineStr">
        <is>
          <t>Embeddings</t>
        </is>
      </c>
      <c r="D381" s="10" t="inlineStr">
        <is>
          <t>Day 76</t>
        </is>
      </c>
      <c r="E381" s="10" t="inlineStr">
        <is>
          <t>30 min</t>
        </is>
      </c>
      <c r="F381" s="10" t="inlineStr">
        <is>
          <t>☐ Not Started</t>
        </is>
      </c>
      <c r="G381" s="10">
        <f>IF(F381="☑ Completed", "COMPLETED", "NOT STARTED")</f>
        <v/>
      </c>
      <c r="H381" s="10" t="inlineStr">
        <is>
          <t>Day 79</t>
        </is>
      </c>
      <c r="I381" s="10" t="inlineStr">
        <is>
          <t>☐ Not Started</t>
        </is>
      </c>
      <c r="J381" s="10" t="inlineStr">
        <is>
          <t>Day 83</t>
        </is>
      </c>
      <c r="K381" s="10" t="inlineStr">
        <is>
          <t>☐ Not Started</t>
        </is>
      </c>
      <c r="L381" s="10" t="inlineStr"/>
    </row>
    <row r="382">
      <c r="A382" s="9" t="inlineStr">
        <is>
          <t>LangChain</t>
        </is>
      </c>
      <c r="B382" s="9" t="inlineStr">
        <is>
          <t>Framework</t>
        </is>
      </c>
      <c r="C382" s="9" t="inlineStr">
        <is>
          <t>Vector stores</t>
        </is>
      </c>
      <c r="D382" s="10" t="inlineStr">
        <is>
          <t>Day 77</t>
        </is>
      </c>
      <c r="E382" s="10" t="inlineStr">
        <is>
          <t>45 min</t>
        </is>
      </c>
      <c r="F382" s="10" t="inlineStr">
        <is>
          <t>☐ Not Started</t>
        </is>
      </c>
      <c r="G382" s="10">
        <f>IF(F382="☑ Completed", "COMPLETED", "NOT STARTED")</f>
        <v/>
      </c>
      <c r="H382" s="10" t="inlineStr">
        <is>
          <t>Day 80</t>
        </is>
      </c>
      <c r="I382" s="10" t="inlineStr">
        <is>
          <t>☐ Not Started</t>
        </is>
      </c>
      <c r="J382" s="10" t="inlineStr">
        <is>
          <t>Day 84</t>
        </is>
      </c>
      <c r="K382" s="10" t="inlineStr">
        <is>
          <t>☐ Not Started</t>
        </is>
      </c>
      <c r="L382" s="10" t="inlineStr"/>
    </row>
    <row r="383">
      <c r="A383" s="9" t="inlineStr">
        <is>
          <t>LangChain</t>
        </is>
      </c>
      <c r="B383" s="9" t="inlineStr">
        <is>
          <t>Framework</t>
        </is>
      </c>
      <c r="C383" s="9" t="inlineStr">
        <is>
          <t>Agents</t>
        </is>
      </c>
      <c r="D383" s="10" t="inlineStr">
        <is>
          <t>Day 77</t>
        </is>
      </c>
      <c r="E383" s="10" t="inlineStr">
        <is>
          <t>30 min</t>
        </is>
      </c>
      <c r="F383" s="10" t="inlineStr">
        <is>
          <t>☐ Not Started</t>
        </is>
      </c>
      <c r="G383" s="10">
        <f>IF(F383="☑ Completed", "COMPLETED", "NOT STARTED")</f>
        <v/>
      </c>
      <c r="H383" s="10" t="inlineStr">
        <is>
          <t>Day 80</t>
        </is>
      </c>
      <c r="I383" s="10" t="inlineStr">
        <is>
          <t>☐ Not Started</t>
        </is>
      </c>
      <c r="J383" s="10" t="inlineStr">
        <is>
          <t>Day 84</t>
        </is>
      </c>
      <c r="K383" s="10" t="inlineStr">
        <is>
          <t>☐ Not Started</t>
        </is>
      </c>
      <c r="L383" s="10" t="inlineStr"/>
    </row>
    <row r="384">
      <c r="A384" s="9" t="inlineStr">
        <is>
          <t>LangGraph</t>
        </is>
      </c>
      <c r="B384" s="9" t="inlineStr">
        <is>
          <t>Agents</t>
        </is>
      </c>
      <c r="C384" s="9" t="inlineStr">
        <is>
          <t>State</t>
        </is>
      </c>
      <c r="D384" s="10" t="inlineStr">
        <is>
          <t>Day 77</t>
        </is>
      </c>
      <c r="E384" s="10" t="inlineStr">
        <is>
          <t>30 min</t>
        </is>
      </c>
      <c r="F384" s="10" t="inlineStr">
        <is>
          <t>☐ Not Started</t>
        </is>
      </c>
      <c r="G384" s="10">
        <f>IF(F384="☑ Completed", "COMPLETED", "NOT STARTED")</f>
        <v/>
      </c>
      <c r="H384" s="10" t="inlineStr">
        <is>
          <t>Day 80</t>
        </is>
      </c>
      <c r="I384" s="10" t="inlineStr">
        <is>
          <t>☐ Not Started</t>
        </is>
      </c>
      <c r="J384" s="10" t="inlineStr">
        <is>
          <t>Day 84</t>
        </is>
      </c>
      <c r="K384" s="10" t="inlineStr">
        <is>
          <t>☐ Not Started</t>
        </is>
      </c>
      <c r="L384" s="10" t="inlineStr"/>
    </row>
    <row r="385">
      <c r="A385" s="9" t="inlineStr">
        <is>
          <t>LangGraph</t>
        </is>
      </c>
      <c r="B385" s="9" t="inlineStr">
        <is>
          <t>Agents</t>
        </is>
      </c>
      <c r="C385" s="9" t="inlineStr">
        <is>
          <t>Nodes</t>
        </is>
      </c>
      <c r="D385" s="10" t="inlineStr">
        <is>
          <t>Day 77</t>
        </is>
      </c>
      <c r="E385" s="10" t="inlineStr">
        <is>
          <t>30 min</t>
        </is>
      </c>
      <c r="F385" s="10" t="inlineStr">
        <is>
          <t>☐ Not Started</t>
        </is>
      </c>
      <c r="G385" s="10">
        <f>IF(F385="☑ Completed", "COMPLETED", "NOT STARTED")</f>
        <v/>
      </c>
      <c r="H385" s="10" t="inlineStr">
        <is>
          <t>Day 80</t>
        </is>
      </c>
      <c r="I385" s="10" t="inlineStr">
        <is>
          <t>☐ Not Started</t>
        </is>
      </c>
      <c r="J385" s="10" t="inlineStr">
        <is>
          <t>Day 84</t>
        </is>
      </c>
      <c r="K385" s="10" t="inlineStr">
        <is>
          <t>☐ Not Started</t>
        </is>
      </c>
      <c r="L385" s="10" t="inlineStr"/>
    </row>
    <row r="386">
      <c r="A386" s="9" t="inlineStr">
        <is>
          <t>LangGraph</t>
        </is>
      </c>
      <c r="B386" s="9" t="inlineStr">
        <is>
          <t>Agents</t>
        </is>
      </c>
      <c r="C386" s="9" t="inlineStr">
        <is>
          <t>Edges</t>
        </is>
      </c>
      <c r="D386" s="10" t="inlineStr">
        <is>
          <t>Day 77</t>
        </is>
      </c>
      <c r="E386" s="10" t="inlineStr">
        <is>
          <t>30 min</t>
        </is>
      </c>
      <c r="F386" s="10" t="inlineStr">
        <is>
          <t>☐ Not Started</t>
        </is>
      </c>
      <c r="G386" s="10">
        <f>IF(F386="☑ Completed", "COMPLETED", "NOT STARTED")</f>
        <v/>
      </c>
      <c r="H386" s="10" t="inlineStr">
        <is>
          <t>Day 80</t>
        </is>
      </c>
      <c r="I386" s="10" t="inlineStr">
        <is>
          <t>☐ Not Started</t>
        </is>
      </c>
      <c r="J386" s="10" t="inlineStr">
        <is>
          <t>Day 84</t>
        </is>
      </c>
      <c r="K386" s="10" t="inlineStr">
        <is>
          <t>☐ Not Started</t>
        </is>
      </c>
      <c r="L386" s="10" t="inlineStr"/>
    </row>
    <row r="387">
      <c r="A387" s="9" t="inlineStr">
        <is>
          <t>LangGraph</t>
        </is>
      </c>
      <c r="B387" s="9" t="inlineStr">
        <is>
          <t>Agents</t>
        </is>
      </c>
      <c r="C387" s="9" t="inlineStr">
        <is>
          <t>Conditional edges</t>
        </is>
      </c>
      <c r="D387" s="10" t="inlineStr">
        <is>
          <t>Day 78</t>
        </is>
      </c>
      <c r="E387" s="10" t="inlineStr">
        <is>
          <t>45 min</t>
        </is>
      </c>
      <c r="F387" s="10" t="inlineStr">
        <is>
          <t>☐ Not Started</t>
        </is>
      </c>
      <c r="G387" s="10">
        <f>IF(F387="☑ Completed", "COMPLETED", "NOT STARTED")</f>
        <v/>
      </c>
      <c r="H387" s="10" t="inlineStr">
        <is>
          <t>Day 81</t>
        </is>
      </c>
      <c r="I387" s="10" t="inlineStr">
        <is>
          <t>☐ Not Started</t>
        </is>
      </c>
      <c r="J387" s="10" t="inlineStr">
        <is>
          <t>Day 85</t>
        </is>
      </c>
      <c r="K387" s="10" t="inlineStr">
        <is>
          <t>☐ Not Started</t>
        </is>
      </c>
      <c r="L387" s="10" t="inlineStr"/>
    </row>
    <row r="388">
      <c r="A388" s="9" t="inlineStr">
        <is>
          <t>LangGraph</t>
        </is>
      </c>
      <c r="B388" s="9" t="inlineStr">
        <is>
          <t>Agents</t>
        </is>
      </c>
      <c r="C388" s="9" t="inlineStr">
        <is>
          <t>Workflows</t>
        </is>
      </c>
      <c r="D388" s="10" t="inlineStr">
        <is>
          <t>Day 78</t>
        </is>
      </c>
      <c r="E388" s="10" t="inlineStr">
        <is>
          <t>30 min</t>
        </is>
      </c>
      <c r="F388" s="10" t="inlineStr">
        <is>
          <t>☐ Not Started</t>
        </is>
      </c>
      <c r="G388" s="10">
        <f>IF(F388="☑ Completed", "COMPLETED", "NOT STARTED")</f>
        <v/>
      </c>
      <c r="H388" s="10" t="inlineStr">
        <is>
          <t>Day 81</t>
        </is>
      </c>
      <c r="I388" s="10" t="inlineStr">
        <is>
          <t>☐ Not Started</t>
        </is>
      </c>
      <c r="J388" s="10" t="inlineStr">
        <is>
          <t>Day 85</t>
        </is>
      </c>
      <c r="K388" s="10" t="inlineStr">
        <is>
          <t>☐ Not Started</t>
        </is>
      </c>
      <c r="L388" s="10" t="inlineStr"/>
    </row>
    <row r="389">
      <c r="A389" s="9" t="inlineStr">
        <is>
          <t>LangGraph</t>
        </is>
      </c>
      <c r="B389" s="9" t="inlineStr">
        <is>
          <t>Agents</t>
        </is>
      </c>
      <c r="C389" s="9" t="inlineStr">
        <is>
          <t>Agentic workflow</t>
        </is>
      </c>
      <c r="D389" s="10" t="inlineStr">
        <is>
          <t>Day 78</t>
        </is>
      </c>
      <c r="E389" s="10" t="inlineStr">
        <is>
          <t>30 min</t>
        </is>
      </c>
      <c r="F389" s="10" t="inlineStr">
        <is>
          <t>☐ Not Started</t>
        </is>
      </c>
      <c r="G389" s="10">
        <f>IF(F389="☑ Completed", "COMPLETED", "NOT STARTED")</f>
        <v/>
      </c>
      <c r="H389" s="10" t="inlineStr">
        <is>
          <t>Day 81</t>
        </is>
      </c>
      <c r="I389" s="10" t="inlineStr">
        <is>
          <t>☐ Not Started</t>
        </is>
      </c>
      <c r="J389" s="10" t="inlineStr">
        <is>
          <t>Day 85</t>
        </is>
      </c>
      <c r="K389" s="10" t="inlineStr">
        <is>
          <t>☐ Not Started</t>
        </is>
      </c>
      <c r="L389" s="10" t="inlineStr"/>
    </row>
    <row r="390">
      <c r="A390" s="9" t="inlineStr">
        <is>
          <t>Project</t>
        </is>
      </c>
      <c r="B390" s="9" t="inlineStr">
        <is>
          <t>RAG Document Q&amp;A</t>
        </is>
      </c>
      <c r="C390" s="9" t="inlineStr">
        <is>
          <t>Architecture</t>
        </is>
      </c>
      <c r="D390" s="10" t="inlineStr">
        <is>
          <t>Day 78</t>
        </is>
      </c>
      <c r="E390" s="10" t="inlineStr">
        <is>
          <t>30 min</t>
        </is>
      </c>
      <c r="F390" s="10" t="inlineStr">
        <is>
          <t>☐ Not Started</t>
        </is>
      </c>
      <c r="G390" s="10">
        <f>IF(F390="☑ Completed", "COMPLETED", "NOT STARTED")</f>
        <v/>
      </c>
      <c r="H390" s="10" t="inlineStr">
        <is>
          <t>Day 81</t>
        </is>
      </c>
      <c r="I390" s="10" t="inlineStr">
        <is>
          <t>☐ Not Started</t>
        </is>
      </c>
      <c r="J390" s="10" t="inlineStr">
        <is>
          <t>Day 85</t>
        </is>
      </c>
      <c r="K390" s="10" t="inlineStr">
        <is>
          <t>☐ Not Started</t>
        </is>
      </c>
      <c r="L390" s="10" t="inlineStr"/>
    </row>
    <row r="391">
      <c r="A391" s="9" t="inlineStr">
        <is>
          <t>Project</t>
        </is>
      </c>
      <c r="B391" s="9" t="inlineStr">
        <is>
          <t>RAG Document Q&amp;A</t>
        </is>
      </c>
      <c r="C391" s="9" t="inlineStr">
        <is>
          <t>Environment setup</t>
        </is>
      </c>
      <c r="D391" s="10" t="inlineStr">
        <is>
          <t>Day 78</t>
        </is>
      </c>
      <c r="E391" s="10" t="inlineStr">
        <is>
          <t>30 min</t>
        </is>
      </c>
      <c r="F391" s="10" t="inlineStr">
        <is>
          <t>☐ Not Started</t>
        </is>
      </c>
      <c r="G391" s="10">
        <f>IF(F391="☑ Completed", "COMPLETED", "NOT STARTED")</f>
        <v/>
      </c>
      <c r="H391" s="10" t="inlineStr">
        <is>
          <t>Day 81</t>
        </is>
      </c>
      <c r="I391" s="10" t="inlineStr">
        <is>
          <t>☐ Not Started</t>
        </is>
      </c>
      <c r="J391" s="10" t="inlineStr">
        <is>
          <t>Day 85</t>
        </is>
      </c>
      <c r="K391" s="10" t="inlineStr">
        <is>
          <t>☐ Not Started</t>
        </is>
      </c>
      <c r="L391" s="10" t="inlineStr"/>
    </row>
    <row r="392">
      <c r="A392" s="9" t="inlineStr">
        <is>
          <t>Project</t>
        </is>
      </c>
      <c r="B392" s="9" t="inlineStr">
        <is>
          <t>RAG Document Q&amp;A</t>
        </is>
      </c>
      <c r="C392" s="9" t="inlineStr">
        <is>
          <t>Dependencies</t>
        </is>
      </c>
      <c r="D392" s="10" t="inlineStr">
        <is>
          <t>Day 79</t>
        </is>
      </c>
      <c r="E392" s="10" t="inlineStr">
        <is>
          <t>45 min</t>
        </is>
      </c>
      <c r="F392" s="10" t="inlineStr">
        <is>
          <t>☐ Not Started</t>
        </is>
      </c>
      <c r="G392" s="10">
        <f>IF(F392="☑ Completed", "COMPLETED", "NOT STARTED")</f>
        <v/>
      </c>
      <c r="H392" s="10" t="inlineStr">
        <is>
          <t>Day 82</t>
        </is>
      </c>
      <c r="I392" s="10" t="inlineStr">
        <is>
          <t>☐ Not Started</t>
        </is>
      </c>
      <c r="J392" s="10" t="inlineStr">
        <is>
          <t>Day 86</t>
        </is>
      </c>
      <c r="K392" s="10" t="inlineStr">
        <is>
          <t>☐ Not Started</t>
        </is>
      </c>
      <c r="L392" s="10" t="inlineStr"/>
    </row>
    <row r="393">
      <c r="A393" s="9" t="inlineStr">
        <is>
          <t>Project</t>
        </is>
      </c>
      <c r="B393" s="9" t="inlineStr">
        <is>
          <t>RAG Document Q&amp;A</t>
        </is>
      </c>
      <c r="C393" s="9" t="inlineStr">
        <is>
          <t>Document upload</t>
        </is>
      </c>
      <c r="D393" s="10" t="inlineStr">
        <is>
          <t>Day 79</t>
        </is>
      </c>
      <c r="E393" s="10" t="inlineStr">
        <is>
          <t>30 min</t>
        </is>
      </c>
      <c r="F393" s="10" t="inlineStr">
        <is>
          <t>☐ Not Started</t>
        </is>
      </c>
      <c r="G393" s="10">
        <f>IF(F393="☑ Completed", "COMPLETED", "NOT STARTED")</f>
        <v/>
      </c>
      <c r="H393" s="10" t="inlineStr">
        <is>
          <t>Day 82</t>
        </is>
      </c>
      <c r="I393" s="10" t="inlineStr">
        <is>
          <t>☐ Not Started</t>
        </is>
      </c>
      <c r="J393" s="10" t="inlineStr">
        <is>
          <t>Day 86</t>
        </is>
      </c>
      <c r="K393" s="10" t="inlineStr">
        <is>
          <t>☐ Not Started</t>
        </is>
      </c>
      <c r="L393" s="10" t="inlineStr"/>
    </row>
    <row r="394">
      <c r="A394" s="9" t="inlineStr">
        <is>
          <t>Project</t>
        </is>
      </c>
      <c r="B394" s="9" t="inlineStr">
        <is>
          <t>RAG Document Q&amp;A</t>
        </is>
      </c>
      <c r="C394" s="9" t="inlineStr">
        <is>
          <t>PDF loading</t>
        </is>
      </c>
      <c r="D394" s="10" t="inlineStr">
        <is>
          <t>Day 79</t>
        </is>
      </c>
      <c r="E394" s="10" t="inlineStr">
        <is>
          <t>30 min</t>
        </is>
      </c>
      <c r="F394" s="10" t="inlineStr">
        <is>
          <t>☐ Not Started</t>
        </is>
      </c>
      <c r="G394" s="10">
        <f>IF(F394="☑ Completed", "COMPLETED", "NOT STARTED")</f>
        <v/>
      </c>
      <c r="H394" s="10" t="inlineStr">
        <is>
          <t>Day 82</t>
        </is>
      </c>
      <c r="I394" s="10" t="inlineStr">
        <is>
          <t>☐ Not Started</t>
        </is>
      </c>
      <c r="J394" s="10" t="inlineStr">
        <is>
          <t>Day 86</t>
        </is>
      </c>
      <c r="K394" s="10" t="inlineStr">
        <is>
          <t>☐ Not Started</t>
        </is>
      </c>
      <c r="L394" s="10" t="inlineStr"/>
    </row>
    <row r="395">
      <c r="A395" s="9" t="inlineStr">
        <is>
          <t>Project</t>
        </is>
      </c>
      <c r="B395" s="9" t="inlineStr">
        <is>
          <t>RAG Document Q&amp;A</t>
        </is>
      </c>
      <c r="C395" s="9" t="inlineStr">
        <is>
          <t>Text extraction</t>
        </is>
      </c>
      <c r="D395" s="10" t="inlineStr">
        <is>
          <t>Day 79</t>
        </is>
      </c>
      <c r="E395" s="10" t="inlineStr">
        <is>
          <t>30 min</t>
        </is>
      </c>
      <c r="F395" s="10" t="inlineStr">
        <is>
          <t>☐ Not Started</t>
        </is>
      </c>
      <c r="G395" s="10">
        <f>IF(F395="☑ Completed", "COMPLETED", "NOT STARTED")</f>
        <v/>
      </c>
      <c r="H395" s="10" t="inlineStr">
        <is>
          <t>Day 82</t>
        </is>
      </c>
      <c r="I395" s="10" t="inlineStr">
        <is>
          <t>☐ Not Started</t>
        </is>
      </c>
      <c r="J395" s="10" t="inlineStr">
        <is>
          <t>Day 86</t>
        </is>
      </c>
      <c r="K395" s="10" t="inlineStr">
        <is>
          <t>☐ Not Started</t>
        </is>
      </c>
      <c r="L395" s="10" t="inlineStr"/>
    </row>
    <row r="396">
      <c r="A396" s="9" t="inlineStr">
        <is>
          <t>Project</t>
        </is>
      </c>
      <c r="B396" s="9" t="inlineStr">
        <is>
          <t>RAG Document Q&amp;A</t>
        </is>
      </c>
      <c r="C396" s="9" t="inlineStr">
        <is>
          <t>Text cleaning</t>
        </is>
      </c>
      <c r="D396" s="10" t="inlineStr">
        <is>
          <t>Day 79</t>
        </is>
      </c>
      <c r="E396" s="10" t="inlineStr">
        <is>
          <t>30 min</t>
        </is>
      </c>
      <c r="F396" s="10" t="inlineStr">
        <is>
          <t>☐ Not Started</t>
        </is>
      </c>
      <c r="G396" s="10">
        <f>IF(F396="☑ Completed", "COMPLETED", "NOT STARTED")</f>
        <v/>
      </c>
      <c r="H396" s="10" t="inlineStr">
        <is>
          <t>Day 82</t>
        </is>
      </c>
      <c r="I396" s="10" t="inlineStr">
        <is>
          <t>☐ Not Started</t>
        </is>
      </c>
      <c r="J396" s="10" t="inlineStr">
        <is>
          <t>Day 86</t>
        </is>
      </c>
      <c r="K396" s="10" t="inlineStr">
        <is>
          <t>☐ Not Started</t>
        </is>
      </c>
      <c r="L396" s="10" t="inlineStr"/>
    </row>
    <row r="397">
      <c r="A397" s="9" t="inlineStr">
        <is>
          <t>Project</t>
        </is>
      </c>
      <c r="B397" s="9" t="inlineStr">
        <is>
          <t>RAG Document Q&amp;A</t>
        </is>
      </c>
      <c r="C397" s="9" t="inlineStr">
        <is>
          <t>Chunking</t>
        </is>
      </c>
      <c r="D397" s="10" t="inlineStr">
        <is>
          <t>Day 80</t>
        </is>
      </c>
      <c r="E397" s="10" t="inlineStr">
        <is>
          <t>45 min</t>
        </is>
      </c>
      <c r="F397" s="10" t="inlineStr">
        <is>
          <t>☐ Not Started</t>
        </is>
      </c>
      <c r="G397" s="10">
        <f>IF(F397="☑ Completed", "COMPLETED", "NOT STARTED")</f>
        <v/>
      </c>
      <c r="H397" s="10" t="inlineStr">
        <is>
          <t>Day 83</t>
        </is>
      </c>
      <c r="I397" s="10" t="inlineStr">
        <is>
          <t>☐ Not Started</t>
        </is>
      </c>
      <c r="J397" s="10" t="inlineStr">
        <is>
          <t>Day 87</t>
        </is>
      </c>
      <c r="K397" s="10" t="inlineStr">
        <is>
          <t>☐ Not Started</t>
        </is>
      </c>
      <c r="L397" s="10" t="inlineStr"/>
    </row>
    <row r="398">
      <c r="A398" s="9" t="inlineStr">
        <is>
          <t>Project</t>
        </is>
      </c>
      <c r="B398" s="9" t="inlineStr">
        <is>
          <t>RAG Document Q&amp;A</t>
        </is>
      </c>
      <c r="C398" s="9" t="inlineStr">
        <is>
          <t>Chunk size testing</t>
        </is>
      </c>
      <c r="D398" s="10" t="inlineStr">
        <is>
          <t>Day 80</t>
        </is>
      </c>
      <c r="E398" s="10" t="inlineStr">
        <is>
          <t>30 min</t>
        </is>
      </c>
      <c r="F398" s="10" t="inlineStr">
        <is>
          <t>☐ Not Started</t>
        </is>
      </c>
      <c r="G398" s="10">
        <f>IF(F398="☑ Completed", "COMPLETED", "NOT STARTED")</f>
        <v/>
      </c>
      <c r="H398" s="10" t="inlineStr">
        <is>
          <t>Day 83</t>
        </is>
      </c>
      <c r="I398" s="10" t="inlineStr">
        <is>
          <t>☐ Not Started</t>
        </is>
      </c>
      <c r="J398" s="10" t="inlineStr">
        <is>
          <t>Day 87</t>
        </is>
      </c>
      <c r="K398" s="10" t="inlineStr">
        <is>
          <t>☐ Not Started</t>
        </is>
      </c>
      <c r="L398" s="10" t="inlineStr"/>
    </row>
    <row r="399">
      <c r="A399" s="9" t="inlineStr">
        <is>
          <t>Project</t>
        </is>
      </c>
      <c r="B399" s="9" t="inlineStr">
        <is>
          <t>RAG Document Q&amp;A</t>
        </is>
      </c>
      <c r="C399" s="9" t="inlineStr">
        <is>
          <t>Chunk overlap testing</t>
        </is>
      </c>
      <c r="D399" s="10" t="inlineStr">
        <is>
          <t>Day 80</t>
        </is>
      </c>
      <c r="E399" s="10" t="inlineStr">
        <is>
          <t>30 min</t>
        </is>
      </c>
      <c r="F399" s="10" t="inlineStr">
        <is>
          <t>☐ Not Started</t>
        </is>
      </c>
      <c r="G399" s="10">
        <f>IF(F399="☑ Completed", "COMPLETED", "NOT STARTED")</f>
        <v/>
      </c>
      <c r="H399" s="10" t="inlineStr">
        <is>
          <t>Day 83</t>
        </is>
      </c>
      <c r="I399" s="10" t="inlineStr">
        <is>
          <t>☐ Not Started</t>
        </is>
      </c>
      <c r="J399" s="10" t="inlineStr">
        <is>
          <t>Day 87</t>
        </is>
      </c>
      <c r="K399" s="10" t="inlineStr">
        <is>
          <t>☐ Not Started</t>
        </is>
      </c>
      <c r="L399" s="10" t="inlineStr"/>
    </row>
    <row r="400">
      <c r="A400" s="9" t="inlineStr">
        <is>
          <t>Project</t>
        </is>
      </c>
      <c r="B400" s="9" t="inlineStr">
        <is>
          <t>RAG Document Q&amp;A</t>
        </is>
      </c>
      <c r="C400" s="9" t="inlineStr">
        <is>
          <t>Embedding model</t>
        </is>
      </c>
      <c r="D400" s="10" t="inlineStr">
        <is>
          <t>Day 80</t>
        </is>
      </c>
      <c r="E400" s="10" t="inlineStr">
        <is>
          <t>30 min</t>
        </is>
      </c>
      <c r="F400" s="10" t="inlineStr">
        <is>
          <t>☐ Not Started</t>
        </is>
      </c>
      <c r="G400" s="10">
        <f>IF(F400="☑ Completed", "COMPLETED", "NOT STARTED")</f>
        <v/>
      </c>
      <c r="H400" s="10" t="inlineStr">
        <is>
          <t>Day 83</t>
        </is>
      </c>
      <c r="I400" s="10" t="inlineStr">
        <is>
          <t>☐ Not Started</t>
        </is>
      </c>
      <c r="J400" s="10" t="inlineStr">
        <is>
          <t>Day 87</t>
        </is>
      </c>
      <c r="K400" s="10" t="inlineStr">
        <is>
          <t>☐ Not Started</t>
        </is>
      </c>
      <c r="L400" s="10" t="inlineStr"/>
    </row>
    <row r="401">
      <c r="A401" s="9" t="inlineStr">
        <is>
          <t>Project</t>
        </is>
      </c>
      <c r="B401" s="9" t="inlineStr">
        <is>
          <t>RAG Document Q&amp;A</t>
        </is>
      </c>
      <c r="C401" s="9" t="inlineStr">
        <is>
          <t>Embedding generation</t>
        </is>
      </c>
      <c r="D401" s="10" t="inlineStr">
        <is>
          <t>Day 80</t>
        </is>
      </c>
      <c r="E401" s="10" t="inlineStr">
        <is>
          <t>30 min</t>
        </is>
      </c>
      <c r="F401" s="10" t="inlineStr">
        <is>
          <t>☐ Not Started</t>
        </is>
      </c>
      <c r="G401" s="10">
        <f>IF(F401="☑ Completed", "COMPLETED", "NOT STARTED")</f>
        <v/>
      </c>
      <c r="H401" s="10" t="inlineStr">
        <is>
          <t>Day 83</t>
        </is>
      </c>
      <c r="I401" s="10" t="inlineStr">
        <is>
          <t>☐ Not Started</t>
        </is>
      </c>
      <c r="J401" s="10" t="inlineStr">
        <is>
          <t>Day 87</t>
        </is>
      </c>
      <c r="K401" s="10" t="inlineStr">
        <is>
          <t>☐ Not Started</t>
        </is>
      </c>
      <c r="L401" s="10" t="inlineStr"/>
    </row>
    <row r="402">
      <c r="A402" s="9" t="inlineStr">
        <is>
          <t>Project</t>
        </is>
      </c>
      <c r="B402" s="9" t="inlineStr">
        <is>
          <t>RAG Document Q&amp;A</t>
        </is>
      </c>
      <c r="C402" s="9" t="inlineStr">
        <is>
          <t>FAISS setup</t>
        </is>
      </c>
      <c r="D402" s="10" t="inlineStr">
        <is>
          <t>Day 81</t>
        </is>
      </c>
      <c r="E402" s="10" t="inlineStr">
        <is>
          <t>45 min</t>
        </is>
      </c>
      <c r="F402" s="10" t="inlineStr">
        <is>
          <t>☐ Not Started</t>
        </is>
      </c>
      <c r="G402" s="10">
        <f>IF(F402="☑ Completed", "COMPLETED", "NOT STARTED")</f>
        <v/>
      </c>
      <c r="H402" s="10" t="inlineStr">
        <is>
          <t>Day 84</t>
        </is>
      </c>
      <c r="I402" s="10" t="inlineStr">
        <is>
          <t>☐ Not Started</t>
        </is>
      </c>
      <c r="J402" s="10" t="inlineStr">
        <is>
          <t>Day 88</t>
        </is>
      </c>
      <c r="K402" s="10" t="inlineStr">
        <is>
          <t>☐ Not Started</t>
        </is>
      </c>
      <c r="L402" s="10" t="inlineStr"/>
    </row>
    <row r="403">
      <c r="A403" s="9" t="inlineStr">
        <is>
          <t>Project</t>
        </is>
      </c>
      <c r="B403" s="9" t="inlineStr">
        <is>
          <t>RAG Document Q&amp;A</t>
        </is>
      </c>
      <c r="C403" s="9" t="inlineStr">
        <is>
          <t>Vector insertion</t>
        </is>
      </c>
      <c r="D403" s="10" t="inlineStr">
        <is>
          <t>Day 81</t>
        </is>
      </c>
      <c r="E403" s="10" t="inlineStr">
        <is>
          <t>30 min</t>
        </is>
      </c>
      <c r="F403" s="10" t="inlineStr">
        <is>
          <t>☐ Not Started</t>
        </is>
      </c>
      <c r="G403" s="10">
        <f>IF(F403="☑ Completed", "COMPLETED", "NOT STARTED")</f>
        <v/>
      </c>
      <c r="H403" s="10" t="inlineStr">
        <is>
          <t>Day 84</t>
        </is>
      </c>
      <c r="I403" s="10" t="inlineStr">
        <is>
          <t>☐ Not Started</t>
        </is>
      </c>
      <c r="J403" s="10" t="inlineStr">
        <is>
          <t>Day 88</t>
        </is>
      </c>
      <c r="K403" s="10" t="inlineStr">
        <is>
          <t>☐ Not Started</t>
        </is>
      </c>
      <c r="L403" s="10" t="inlineStr"/>
    </row>
    <row r="404">
      <c r="A404" s="9" t="inlineStr">
        <is>
          <t>Project</t>
        </is>
      </c>
      <c r="B404" s="9" t="inlineStr">
        <is>
          <t>RAG Document Q&amp;A</t>
        </is>
      </c>
      <c r="C404" s="9" t="inlineStr">
        <is>
          <t>Similarity search</t>
        </is>
      </c>
      <c r="D404" s="10" t="inlineStr">
        <is>
          <t>Day 81</t>
        </is>
      </c>
      <c r="E404" s="10" t="inlineStr">
        <is>
          <t>30 min</t>
        </is>
      </c>
      <c r="F404" s="10" t="inlineStr">
        <is>
          <t>☐ Not Started</t>
        </is>
      </c>
      <c r="G404" s="10">
        <f>IF(F404="☑ Completed", "COMPLETED", "NOT STARTED")</f>
        <v/>
      </c>
      <c r="H404" s="10" t="inlineStr">
        <is>
          <t>Day 84</t>
        </is>
      </c>
      <c r="I404" s="10" t="inlineStr">
        <is>
          <t>☐ Not Started</t>
        </is>
      </c>
      <c r="J404" s="10" t="inlineStr">
        <is>
          <t>Day 88</t>
        </is>
      </c>
      <c r="K404" s="10" t="inlineStr">
        <is>
          <t>☐ Not Started</t>
        </is>
      </c>
      <c r="L404" s="10" t="inlineStr"/>
    </row>
    <row r="405">
      <c r="A405" s="9" t="inlineStr">
        <is>
          <t>Project</t>
        </is>
      </c>
      <c r="B405" s="9" t="inlineStr">
        <is>
          <t>RAG Document Q&amp;A</t>
        </is>
      </c>
      <c r="C405" s="9" t="inlineStr">
        <is>
          <t>Retriever</t>
        </is>
      </c>
      <c r="D405" s="10" t="inlineStr">
        <is>
          <t>Day 81</t>
        </is>
      </c>
      <c r="E405" s="10" t="inlineStr">
        <is>
          <t>30 min</t>
        </is>
      </c>
      <c r="F405" s="10" t="inlineStr">
        <is>
          <t>☐ Not Started</t>
        </is>
      </c>
      <c r="G405" s="10">
        <f>IF(F405="☑ Completed", "COMPLETED", "NOT STARTED")</f>
        <v/>
      </c>
      <c r="H405" s="10" t="inlineStr">
        <is>
          <t>Day 84</t>
        </is>
      </c>
      <c r="I405" s="10" t="inlineStr">
        <is>
          <t>☐ Not Started</t>
        </is>
      </c>
      <c r="J405" s="10" t="inlineStr">
        <is>
          <t>Day 88</t>
        </is>
      </c>
      <c r="K405" s="10" t="inlineStr">
        <is>
          <t>☐ Not Started</t>
        </is>
      </c>
      <c r="L405" s="10" t="inlineStr"/>
    </row>
    <row r="406">
      <c r="A406" s="9" t="inlineStr">
        <is>
          <t>Project</t>
        </is>
      </c>
      <c r="B406" s="9" t="inlineStr">
        <is>
          <t>RAG Document Q&amp;A</t>
        </is>
      </c>
      <c r="C406" s="9" t="inlineStr">
        <is>
          <t>LLM integration</t>
        </is>
      </c>
      <c r="D406" s="10" t="inlineStr">
        <is>
          <t>Day 81</t>
        </is>
      </c>
      <c r="E406" s="10" t="inlineStr">
        <is>
          <t>30 min</t>
        </is>
      </c>
      <c r="F406" s="10" t="inlineStr">
        <is>
          <t>☐ Not Started</t>
        </is>
      </c>
      <c r="G406" s="10">
        <f>IF(F406="☑ Completed", "COMPLETED", "NOT STARTED")</f>
        <v/>
      </c>
      <c r="H406" s="10" t="inlineStr">
        <is>
          <t>Day 84</t>
        </is>
      </c>
      <c r="I406" s="10" t="inlineStr">
        <is>
          <t>☐ Not Started</t>
        </is>
      </c>
      <c r="J406" s="10" t="inlineStr">
        <is>
          <t>Day 88</t>
        </is>
      </c>
      <c r="K406" s="10" t="inlineStr">
        <is>
          <t>☐ Not Started</t>
        </is>
      </c>
      <c r="L406" s="10" t="inlineStr"/>
    </row>
    <row r="407">
      <c r="A407" s="9" t="inlineStr">
        <is>
          <t>Project</t>
        </is>
      </c>
      <c r="B407" s="9" t="inlineStr">
        <is>
          <t>RAG Document Q&amp;A</t>
        </is>
      </c>
      <c r="C407" s="9" t="inlineStr">
        <is>
          <t>Prompt design</t>
        </is>
      </c>
      <c r="D407" s="10" t="inlineStr">
        <is>
          <t>Day 82</t>
        </is>
      </c>
      <c r="E407" s="10" t="inlineStr">
        <is>
          <t>45 min</t>
        </is>
      </c>
      <c r="F407" s="10" t="inlineStr">
        <is>
          <t>☐ Not Started</t>
        </is>
      </c>
      <c r="G407" s="10">
        <f>IF(F407="☑ Completed", "COMPLETED", "NOT STARTED")</f>
        <v/>
      </c>
      <c r="H407" s="10" t="inlineStr">
        <is>
          <t>Day 85</t>
        </is>
      </c>
      <c r="I407" s="10" t="inlineStr">
        <is>
          <t>☐ Not Started</t>
        </is>
      </c>
      <c r="J407" s="10" t="inlineStr">
        <is>
          <t>Day 89</t>
        </is>
      </c>
      <c r="K407" s="10" t="inlineStr">
        <is>
          <t>☐ Not Started</t>
        </is>
      </c>
      <c r="L407" s="10" t="inlineStr"/>
    </row>
    <row r="408">
      <c r="A408" s="9" t="inlineStr">
        <is>
          <t>Project</t>
        </is>
      </c>
      <c r="B408" s="9" t="inlineStr">
        <is>
          <t>RAG Document Q&amp;A</t>
        </is>
      </c>
      <c r="C408" s="9" t="inlineStr">
        <is>
          <t>RAG chain</t>
        </is>
      </c>
      <c r="D408" s="10" t="inlineStr">
        <is>
          <t>Day 82</t>
        </is>
      </c>
      <c r="E408" s="10" t="inlineStr">
        <is>
          <t>30 min</t>
        </is>
      </c>
      <c r="F408" s="10" t="inlineStr">
        <is>
          <t>☐ Not Started</t>
        </is>
      </c>
      <c r="G408" s="10">
        <f>IF(F408="☑ Completed", "COMPLETED", "NOT STARTED")</f>
        <v/>
      </c>
      <c r="H408" s="10" t="inlineStr">
        <is>
          <t>Day 85</t>
        </is>
      </c>
      <c r="I408" s="10" t="inlineStr">
        <is>
          <t>☐ Not Started</t>
        </is>
      </c>
      <c r="J408" s="10" t="inlineStr">
        <is>
          <t>Day 89</t>
        </is>
      </c>
      <c r="K408" s="10" t="inlineStr">
        <is>
          <t>☐ Not Started</t>
        </is>
      </c>
      <c r="L408" s="10" t="inlineStr"/>
    </row>
    <row r="409">
      <c r="A409" s="9" t="inlineStr">
        <is>
          <t>Project</t>
        </is>
      </c>
      <c r="B409" s="9" t="inlineStr">
        <is>
          <t>RAG Document Q&amp;A</t>
        </is>
      </c>
      <c r="C409" s="9" t="inlineStr">
        <is>
          <t>Question answering</t>
        </is>
      </c>
      <c r="D409" s="10" t="inlineStr">
        <is>
          <t>Day 82</t>
        </is>
      </c>
      <c r="E409" s="10" t="inlineStr">
        <is>
          <t>30 min</t>
        </is>
      </c>
      <c r="F409" s="10" t="inlineStr">
        <is>
          <t>☐ Not Started</t>
        </is>
      </c>
      <c r="G409" s="10">
        <f>IF(F409="☑ Completed", "COMPLETED", "NOT STARTED")</f>
        <v/>
      </c>
      <c r="H409" s="10" t="inlineStr">
        <is>
          <t>Day 85</t>
        </is>
      </c>
      <c r="I409" s="10" t="inlineStr">
        <is>
          <t>☐ Not Started</t>
        </is>
      </c>
      <c r="J409" s="10" t="inlineStr">
        <is>
          <t>Day 89</t>
        </is>
      </c>
      <c r="K409" s="10" t="inlineStr">
        <is>
          <t>☐ Not Started</t>
        </is>
      </c>
      <c r="L409" s="10" t="inlineStr"/>
    </row>
    <row r="410">
      <c r="A410" s="9" t="inlineStr">
        <is>
          <t>Project</t>
        </is>
      </c>
      <c r="B410" s="9" t="inlineStr">
        <is>
          <t>RAG Document Q&amp;A</t>
        </is>
      </c>
      <c r="C410" s="9" t="inlineStr">
        <is>
          <t>Source retrieval</t>
        </is>
      </c>
      <c r="D410" s="10" t="inlineStr">
        <is>
          <t>Day 82</t>
        </is>
      </c>
      <c r="E410" s="10" t="inlineStr">
        <is>
          <t>30 min</t>
        </is>
      </c>
      <c r="F410" s="10" t="inlineStr">
        <is>
          <t>☐ Not Started</t>
        </is>
      </c>
      <c r="G410" s="10">
        <f>IF(F410="☑ Completed", "COMPLETED", "NOT STARTED")</f>
        <v/>
      </c>
      <c r="H410" s="10" t="inlineStr">
        <is>
          <t>Day 85</t>
        </is>
      </c>
      <c r="I410" s="10" t="inlineStr">
        <is>
          <t>☐ Not Started</t>
        </is>
      </c>
      <c r="J410" s="10" t="inlineStr">
        <is>
          <t>Day 89</t>
        </is>
      </c>
      <c r="K410" s="10" t="inlineStr">
        <is>
          <t>☐ Not Started</t>
        </is>
      </c>
      <c r="L410" s="10" t="inlineStr"/>
    </row>
    <row r="411">
      <c r="A411" s="9" t="inlineStr">
        <is>
          <t>Project</t>
        </is>
      </c>
      <c r="B411" s="9" t="inlineStr">
        <is>
          <t>RAG Document Q&amp;A</t>
        </is>
      </c>
      <c r="C411" s="9" t="inlineStr">
        <is>
          <t>Source display</t>
        </is>
      </c>
      <c r="D411" s="10" t="inlineStr">
        <is>
          <t>Day 82</t>
        </is>
      </c>
      <c r="E411" s="10" t="inlineStr">
        <is>
          <t>30 min</t>
        </is>
      </c>
      <c r="F411" s="10" t="inlineStr">
        <is>
          <t>☐ Not Started</t>
        </is>
      </c>
      <c r="G411" s="10">
        <f>IF(F411="☑ Completed", "COMPLETED", "NOT STARTED")</f>
        <v/>
      </c>
      <c r="H411" s="10" t="inlineStr">
        <is>
          <t>Day 85</t>
        </is>
      </c>
      <c r="I411" s="10" t="inlineStr">
        <is>
          <t>☐ Not Started</t>
        </is>
      </c>
      <c r="J411" s="10" t="inlineStr">
        <is>
          <t>Day 89</t>
        </is>
      </c>
      <c r="K411" s="10" t="inlineStr">
        <is>
          <t>☐ Not Started</t>
        </is>
      </c>
      <c r="L411" s="10" t="inlineStr"/>
    </row>
    <row r="412">
      <c r="A412" s="9" t="inlineStr">
        <is>
          <t>Project</t>
        </is>
      </c>
      <c r="B412" s="9" t="inlineStr">
        <is>
          <t>RAG Document Q&amp;A</t>
        </is>
      </c>
      <c r="C412" s="9" t="inlineStr">
        <is>
          <t>Conversation history</t>
        </is>
      </c>
      <c r="D412" s="10" t="inlineStr">
        <is>
          <t>Day 83</t>
        </is>
      </c>
      <c r="E412" s="10" t="inlineStr">
        <is>
          <t>45 min</t>
        </is>
      </c>
      <c r="F412" s="10" t="inlineStr">
        <is>
          <t>☐ Not Started</t>
        </is>
      </c>
      <c r="G412" s="10">
        <f>IF(F412="☑ Completed", "COMPLETED", "NOT STARTED")</f>
        <v/>
      </c>
      <c r="H412" s="10" t="inlineStr">
        <is>
          <t>Day 86</t>
        </is>
      </c>
      <c r="I412" s="10" t="inlineStr">
        <is>
          <t>☐ Not Started</t>
        </is>
      </c>
      <c r="J412" s="10" t="inlineStr">
        <is>
          <t>Day 90</t>
        </is>
      </c>
      <c r="K412" s="10" t="inlineStr">
        <is>
          <t>☐ Not Started</t>
        </is>
      </c>
      <c r="L412" s="10" t="inlineStr"/>
    </row>
    <row r="413">
      <c r="A413" s="9" t="inlineStr">
        <is>
          <t>Project</t>
        </is>
      </c>
      <c r="B413" s="9" t="inlineStr">
        <is>
          <t>RAG Document Q&amp;A</t>
        </is>
      </c>
      <c r="C413" s="9" t="inlineStr">
        <is>
          <t>Error handling</t>
        </is>
      </c>
      <c r="D413" s="10" t="inlineStr">
        <is>
          <t>Day 83</t>
        </is>
      </c>
      <c r="E413" s="10" t="inlineStr">
        <is>
          <t>30 min</t>
        </is>
      </c>
      <c r="F413" s="10" t="inlineStr">
        <is>
          <t>☐ Not Started</t>
        </is>
      </c>
      <c r="G413" s="10">
        <f>IF(F413="☑ Completed", "COMPLETED", "NOT STARTED")</f>
        <v/>
      </c>
      <c r="H413" s="10" t="inlineStr">
        <is>
          <t>Day 86</t>
        </is>
      </c>
      <c r="I413" s="10" t="inlineStr">
        <is>
          <t>☐ Not Started</t>
        </is>
      </c>
      <c r="J413" s="10" t="inlineStr">
        <is>
          <t>Day 90</t>
        </is>
      </c>
      <c r="K413" s="10" t="inlineStr">
        <is>
          <t>☐ Not Started</t>
        </is>
      </c>
      <c r="L413" s="10" t="inlineStr"/>
    </row>
    <row r="414">
      <c r="A414" s="9" t="inlineStr">
        <is>
          <t>Project</t>
        </is>
      </c>
      <c r="B414" s="9" t="inlineStr">
        <is>
          <t>RAG Document Q&amp;A</t>
        </is>
      </c>
      <c r="C414" s="9" t="inlineStr">
        <is>
          <t>Hallucination handling</t>
        </is>
      </c>
      <c r="D414" s="10" t="inlineStr">
        <is>
          <t>Day 83</t>
        </is>
      </c>
      <c r="E414" s="10" t="inlineStr">
        <is>
          <t>30 min</t>
        </is>
      </c>
      <c r="F414" s="10" t="inlineStr">
        <is>
          <t>☐ Not Started</t>
        </is>
      </c>
      <c r="G414" s="10">
        <f>IF(F414="☑ Completed", "COMPLETED", "NOT STARTED")</f>
        <v/>
      </c>
      <c r="H414" s="10" t="inlineStr">
        <is>
          <t>Day 86</t>
        </is>
      </c>
      <c r="I414" s="10" t="inlineStr">
        <is>
          <t>☐ Not Started</t>
        </is>
      </c>
      <c r="J414" s="10" t="inlineStr">
        <is>
          <t>Day 90</t>
        </is>
      </c>
      <c r="K414" s="10" t="inlineStr">
        <is>
          <t>☐ Not Started</t>
        </is>
      </c>
      <c r="L414" s="10" t="inlineStr"/>
    </row>
    <row r="415">
      <c r="A415" s="9" t="inlineStr">
        <is>
          <t>Project</t>
        </is>
      </c>
      <c r="B415" s="9" t="inlineStr">
        <is>
          <t>RAG Document Q&amp;A</t>
        </is>
      </c>
      <c r="C415" s="9" t="inlineStr">
        <is>
          <t>Retrieval testing</t>
        </is>
      </c>
      <c r="D415" s="10" t="inlineStr">
        <is>
          <t>Day 83</t>
        </is>
      </c>
      <c r="E415" s="10" t="inlineStr">
        <is>
          <t>30 min</t>
        </is>
      </c>
      <c r="F415" s="10" t="inlineStr">
        <is>
          <t>☐ Not Started</t>
        </is>
      </c>
      <c r="G415" s="10">
        <f>IF(F415="☑ Completed", "COMPLETED", "NOT STARTED")</f>
        <v/>
      </c>
      <c r="H415" s="10" t="inlineStr">
        <is>
          <t>Day 86</t>
        </is>
      </c>
      <c r="I415" s="10" t="inlineStr">
        <is>
          <t>☐ Not Started</t>
        </is>
      </c>
      <c r="J415" s="10" t="inlineStr">
        <is>
          <t>Day 90</t>
        </is>
      </c>
      <c r="K415" s="10" t="inlineStr">
        <is>
          <t>☐ Not Started</t>
        </is>
      </c>
      <c r="L415" s="10" t="inlineStr"/>
    </row>
    <row r="416">
      <c r="A416" s="9" t="inlineStr">
        <is>
          <t>Project</t>
        </is>
      </c>
      <c r="B416" s="9" t="inlineStr">
        <is>
          <t>RAG Document Q&amp;A</t>
        </is>
      </c>
      <c r="C416" s="9" t="inlineStr">
        <is>
          <t>RAG evaluation</t>
        </is>
      </c>
      <c r="D416" s="10" t="inlineStr">
        <is>
          <t>Day 83</t>
        </is>
      </c>
      <c r="E416" s="10" t="inlineStr">
        <is>
          <t>30 min</t>
        </is>
      </c>
      <c r="F416" s="10" t="inlineStr">
        <is>
          <t>☐ Not Started</t>
        </is>
      </c>
      <c r="G416" s="10">
        <f>IF(F416="☑ Completed", "COMPLETED", "NOT STARTED")</f>
        <v/>
      </c>
      <c r="H416" s="10" t="inlineStr">
        <is>
          <t>Day 86</t>
        </is>
      </c>
      <c r="I416" s="10" t="inlineStr">
        <is>
          <t>☐ Not Started</t>
        </is>
      </c>
      <c r="J416" s="10" t="inlineStr">
        <is>
          <t>Day 90</t>
        </is>
      </c>
      <c r="K416" s="10" t="inlineStr">
        <is>
          <t>☐ Not Started</t>
        </is>
      </c>
      <c r="L416" s="10" t="inlineStr"/>
    </row>
    <row r="417">
      <c r="A417" s="9" t="inlineStr">
        <is>
          <t>Project</t>
        </is>
      </c>
      <c r="B417" s="9" t="inlineStr">
        <is>
          <t>RAG Document Q&amp;A</t>
        </is>
      </c>
      <c r="C417" s="9" t="inlineStr">
        <is>
          <t>UI</t>
        </is>
      </c>
      <c r="D417" s="10" t="inlineStr">
        <is>
          <t>Day 84</t>
        </is>
      </c>
      <c r="E417" s="10" t="inlineStr">
        <is>
          <t>45 min</t>
        </is>
      </c>
      <c r="F417" s="10" t="inlineStr">
        <is>
          <t>☐ Not Started</t>
        </is>
      </c>
      <c r="G417" s="10">
        <f>IF(F417="☑ Completed", "COMPLETED", "NOT STARTED")</f>
        <v/>
      </c>
      <c r="H417" s="10" t="inlineStr">
        <is>
          <t>Day 87</t>
        </is>
      </c>
      <c r="I417" s="10" t="inlineStr">
        <is>
          <t>☐ Not Started</t>
        </is>
      </c>
      <c r="J417" s="10" t="inlineStr">
        <is>
          <t>Day 91</t>
        </is>
      </c>
      <c r="K417" s="10" t="inlineStr">
        <is>
          <t>☐ Not Started</t>
        </is>
      </c>
      <c r="L417" s="10" t="inlineStr"/>
    </row>
    <row r="418">
      <c r="A418" s="9" t="inlineStr">
        <is>
          <t>Project</t>
        </is>
      </c>
      <c r="B418" s="9" t="inlineStr">
        <is>
          <t>RAG Document Q&amp;A</t>
        </is>
      </c>
      <c r="C418" s="9" t="inlineStr">
        <is>
          <t>Streamlit</t>
        </is>
      </c>
      <c r="D418" s="10" t="inlineStr">
        <is>
          <t>Day 84</t>
        </is>
      </c>
      <c r="E418" s="10" t="inlineStr">
        <is>
          <t>30 min</t>
        </is>
      </c>
      <c r="F418" s="10" t="inlineStr">
        <is>
          <t>☐ Not Started</t>
        </is>
      </c>
      <c r="G418" s="10">
        <f>IF(F418="☑ Completed", "COMPLETED", "NOT STARTED")</f>
        <v/>
      </c>
      <c r="H418" s="10" t="inlineStr">
        <is>
          <t>Day 87</t>
        </is>
      </c>
      <c r="I418" s="10" t="inlineStr">
        <is>
          <t>☐ Not Started</t>
        </is>
      </c>
      <c r="J418" s="10" t="inlineStr">
        <is>
          <t>Day 91</t>
        </is>
      </c>
      <c r="K418" s="10" t="inlineStr">
        <is>
          <t>☐ Not Started</t>
        </is>
      </c>
      <c r="L418" s="10" t="inlineStr"/>
    </row>
    <row r="419">
      <c r="A419" s="9" t="inlineStr">
        <is>
          <t>Project</t>
        </is>
      </c>
      <c r="B419" s="9" t="inlineStr">
        <is>
          <t>RAG Document Q&amp;A</t>
        </is>
      </c>
      <c r="C419" s="9" t="inlineStr">
        <is>
          <t>GitHub</t>
        </is>
      </c>
      <c r="D419" s="10" t="inlineStr">
        <is>
          <t>Day 84</t>
        </is>
      </c>
      <c r="E419" s="10" t="inlineStr">
        <is>
          <t>30 min</t>
        </is>
      </c>
      <c r="F419" s="10" t="inlineStr">
        <is>
          <t>☐ Not Started</t>
        </is>
      </c>
      <c r="G419" s="10">
        <f>IF(F419="☑ Completed", "COMPLETED", "NOT STARTED")</f>
        <v/>
      </c>
      <c r="H419" s="10" t="inlineStr">
        <is>
          <t>Day 87</t>
        </is>
      </c>
      <c r="I419" s="10" t="inlineStr">
        <is>
          <t>☐ Not Started</t>
        </is>
      </c>
      <c r="J419" s="10" t="inlineStr">
        <is>
          <t>Day 91</t>
        </is>
      </c>
      <c r="K419" s="10" t="inlineStr">
        <is>
          <t>☐ Not Started</t>
        </is>
      </c>
      <c r="L419" s="10" t="inlineStr"/>
    </row>
    <row r="420">
      <c r="A420" s="9" t="inlineStr">
        <is>
          <t>Project</t>
        </is>
      </c>
      <c r="B420" s="9" t="inlineStr">
        <is>
          <t>RAG Document Q&amp;A</t>
        </is>
      </c>
      <c r="C420" s="9" t="inlineStr">
        <is>
          <t>README</t>
        </is>
      </c>
      <c r="D420" s="10" t="inlineStr">
        <is>
          <t>Day 84</t>
        </is>
      </c>
      <c r="E420" s="10" t="inlineStr">
        <is>
          <t>30 min</t>
        </is>
      </c>
      <c r="F420" s="10" t="inlineStr">
        <is>
          <t>☐ Not Started</t>
        </is>
      </c>
      <c r="G420" s="10">
        <f>IF(F420="☑ Completed", "COMPLETED", "NOT STARTED")</f>
        <v/>
      </c>
      <c r="H420" s="10" t="inlineStr">
        <is>
          <t>Day 87</t>
        </is>
      </c>
      <c r="I420" s="10" t="inlineStr">
        <is>
          <t>☐ Not Started</t>
        </is>
      </c>
      <c r="J420" s="10" t="inlineStr">
        <is>
          <t>Day 91</t>
        </is>
      </c>
      <c r="K420" s="10" t="inlineStr">
        <is>
          <t>☐ Not Started</t>
        </is>
      </c>
      <c r="L420" s="10" t="inlineStr"/>
    </row>
    <row r="421">
      <c r="A421" s="9" t="inlineStr">
        <is>
          <t>Project</t>
        </is>
      </c>
      <c r="B421" s="9" t="inlineStr">
        <is>
          <t>RAG Document Q&amp;A</t>
        </is>
      </c>
      <c r="C421" s="9" t="inlineStr">
        <is>
          <t>Deployment</t>
        </is>
      </c>
      <c r="D421" s="10" t="inlineStr">
        <is>
          <t>Day 84</t>
        </is>
      </c>
      <c r="E421" s="10" t="inlineStr">
        <is>
          <t>30 min</t>
        </is>
      </c>
      <c r="F421" s="10" t="inlineStr">
        <is>
          <t>☐ Not Started</t>
        </is>
      </c>
      <c r="G421" s="10">
        <f>IF(F421="☑ Completed", "COMPLETED", "NOT STARTED")</f>
        <v/>
      </c>
      <c r="H421" s="10" t="inlineStr">
        <is>
          <t>Day 87</t>
        </is>
      </c>
      <c r="I421" s="10" t="inlineStr">
        <is>
          <t>☐ Not Started</t>
        </is>
      </c>
      <c r="J421" s="10" t="inlineStr">
        <is>
          <t>Day 91</t>
        </is>
      </c>
      <c r="K421" s="10" t="inlineStr">
        <is>
          <t>☐ Not Started</t>
        </is>
      </c>
      <c r="L421" s="10" t="inlineStr"/>
    </row>
    <row r="422">
      <c r="A422" s="9" t="inlineStr">
        <is>
          <t>Project</t>
        </is>
      </c>
      <c r="B422" s="9" t="inlineStr">
        <is>
          <t>RAG Document Q&amp;A</t>
        </is>
      </c>
      <c r="C422" s="9" t="inlineStr">
        <is>
          <t>Project explanation</t>
        </is>
      </c>
      <c r="D422" s="10" t="inlineStr">
        <is>
          <t>Day 85</t>
        </is>
      </c>
      <c r="E422" s="10" t="inlineStr">
        <is>
          <t>45 min</t>
        </is>
      </c>
      <c r="F422" s="10" t="inlineStr">
        <is>
          <t>☐ Not Started</t>
        </is>
      </c>
      <c r="G422" s="10">
        <f>IF(F422="☑ Completed", "COMPLETED", "NOT STARTED")</f>
        <v/>
      </c>
      <c r="H422" s="10" t="inlineStr">
        <is>
          <t>Day 88</t>
        </is>
      </c>
      <c r="I422" s="10" t="inlineStr">
        <is>
          <t>☐ Not Started</t>
        </is>
      </c>
      <c r="J422" s="10" t="inlineStr">
        <is>
          <t>Day 92</t>
        </is>
      </c>
      <c r="K422" s="10" t="inlineStr">
        <is>
          <t>☐ Not Started</t>
        </is>
      </c>
      <c r="L422" s="10" t="inlineStr"/>
    </row>
    <row r="423">
      <c r="A423" s="9" t="inlineStr">
        <is>
          <t>Project</t>
        </is>
      </c>
      <c r="B423" s="9" t="inlineStr">
        <is>
          <t>RAG Document Q&amp;A</t>
        </is>
      </c>
      <c r="C423" s="9" t="inlineStr">
        <is>
          <t>Interview questions</t>
        </is>
      </c>
      <c r="D423" s="10" t="inlineStr">
        <is>
          <t>Day 85</t>
        </is>
      </c>
      <c r="E423" s="10" t="inlineStr">
        <is>
          <t>30 min</t>
        </is>
      </c>
      <c r="F423" s="10" t="inlineStr">
        <is>
          <t>☐ Not Started</t>
        </is>
      </c>
      <c r="G423" s="10">
        <f>IF(F423="☑ Completed", "COMPLETED", "NOT STARTED")</f>
        <v/>
      </c>
      <c r="H423" s="10" t="inlineStr">
        <is>
          <t>Day 88</t>
        </is>
      </c>
      <c r="I423" s="10" t="inlineStr">
        <is>
          <t>☐ Not Started</t>
        </is>
      </c>
      <c r="J423" s="10" t="inlineStr">
        <is>
          <t>Day 92</t>
        </is>
      </c>
      <c r="K423" s="10" t="inlineStr">
        <is>
          <t>☐ Not Started</t>
        </is>
      </c>
      <c r="L423" s="10" t="inlineStr"/>
    </row>
    <row r="424">
      <c r="A424" s="9" t="inlineStr">
        <is>
          <t>FastAPI</t>
        </is>
      </c>
      <c r="B424" s="9" t="inlineStr">
        <is>
          <t>API Dev</t>
        </is>
      </c>
      <c r="C424" s="9" t="inlineStr">
        <is>
          <t>API concept</t>
        </is>
      </c>
      <c r="D424" s="10" t="inlineStr">
        <is>
          <t>Day 85</t>
        </is>
      </c>
      <c r="E424" s="10" t="inlineStr">
        <is>
          <t>30 min</t>
        </is>
      </c>
      <c r="F424" s="10" t="inlineStr">
        <is>
          <t>☐ Not Started</t>
        </is>
      </c>
      <c r="G424" s="10">
        <f>IF(F424="☑ Completed", "COMPLETED", "NOT STARTED")</f>
        <v/>
      </c>
      <c r="H424" s="10" t="inlineStr">
        <is>
          <t>Day 88</t>
        </is>
      </c>
      <c r="I424" s="10" t="inlineStr">
        <is>
          <t>☐ Not Started</t>
        </is>
      </c>
      <c r="J424" s="10" t="inlineStr">
        <is>
          <t>Day 92</t>
        </is>
      </c>
      <c r="K424" s="10" t="inlineStr">
        <is>
          <t>☐ Not Started</t>
        </is>
      </c>
      <c r="L424" s="10" t="inlineStr"/>
    </row>
    <row r="425">
      <c r="A425" s="9" t="inlineStr">
        <is>
          <t>FastAPI</t>
        </is>
      </c>
      <c r="B425" s="9" t="inlineStr">
        <is>
          <t>API Dev</t>
        </is>
      </c>
      <c r="C425" s="9" t="inlineStr">
        <is>
          <t>REST API</t>
        </is>
      </c>
      <c r="D425" s="10" t="inlineStr">
        <is>
          <t>Day 85</t>
        </is>
      </c>
      <c r="E425" s="10" t="inlineStr">
        <is>
          <t>30 min</t>
        </is>
      </c>
      <c r="F425" s="10" t="inlineStr">
        <is>
          <t>☐ Not Started</t>
        </is>
      </c>
      <c r="G425" s="10">
        <f>IF(F425="☑ Completed", "COMPLETED", "NOT STARTED")</f>
        <v/>
      </c>
      <c r="H425" s="10" t="inlineStr">
        <is>
          <t>Day 88</t>
        </is>
      </c>
      <c r="I425" s="10" t="inlineStr">
        <is>
          <t>☐ Not Started</t>
        </is>
      </c>
      <c r="J425" s="10" t="inlineStr">
        <is>
          <t>Day 92</t>
        </is>
      </c>
      <c r="K425" s="10" t="inlineStr">
        <is>
          <t>☐ Not Started</t>
        </is>
      </c>
      <c r="L425" s="10" t="inlineStr"/>
    </row>
    <row r="426">
      <c r="A426" s="9" t="inlineStr">
        <is>
          <t>FastAPI</t>
        </is>
      </c>
      <c r="B426" s="9" t="inlineStr">
        <is>
          <t>API Dev</t>
        </is>
      </c>
      <c r="C426" s="9" t="inlineStr">
        <is>
          <t>GET</t>
        </is>
      </c>
      <c r="D426" s="10" t="inlineStr">
        <is>
          <t>Day 85</t>
        </is>
      </c>
      <c r="E426" s="10" t="inlineStr">
        <is>
          <t>30 min</t>
        </is>
      </c>
      <c r="F426" s="10" t="inlineStr">
        <is>
          <t>☐ Not Started</t>
        </is>
      </c>
      <c r="G426" s="10">
        <f>IF(F426="☑ Completed", "COMPLETED", "NOT STARTED")</f>
        <v/>
      </c>
      <c r="H426" s="10" t="inlineStr">
        <is>
          <t>Day 88</t>
        </is>
      </c>
      <c r="I426" s="10" t="inlineStr">
        <is>
          <t>☐ Not Started</t>
        </is>
      </c>
      <c r="J426" s="10" t="inlineStr">
        <is>
          <t>Day 92</t>
        </is>
      </c>
      <c r="K426" s="10" t="inlineStr">
        <is>
          <t>☐ Not Started</t>
        </is>
      </c>
      <c r="L426" s="10" t="inlineStr"/>
    </row>
    <row r="427">
      <c r="A427" s="9" t="inlineStr">
        <is>
          <t>FastAPI</t>
        </is>
      </c>
      <c r="B427" s="9" t="inlineStr">
        <is>
          <t>API Dev</t>
        </is>
      </c>
      <c r="C427" s="9" t="inlineStr">
        <is>
          <t>POST</t>
        </is>
      </c>
      <c r="D427" s="10" t="inlineStr">
        <is>
          <t>Day 86</t>
        </is>
      </c>
      <c r="E427" s="10" t="inlineStr">
        <is>
          <t>45 min</t>
        </is>
      </c>
      <c r="F427" s="10" t="inlineStr">
        <is>
          <t>☐ Not Started</t>
        </is>
      </c>
      <c r="G427" s="10">
        <f>IF(F427="☑ Completed", "COMPLETED", "NOT STARTED")</f>
        <v/>
      </c>
      <c r="H427" s="10" t="inlineStr">
        <is>
          <t>Day 89</t>
        </is>
      </c>
      <c r="I427" s="10" t="inlineStr">
        <is>
          <t>☐ Not Started</t>
        </is>
      </c>
      <c r="J427" s="10" t="inlineStr">
        <is>
          <t>Day 93</t>
        </is>
      </c>
      <c r="K427" s="10" t="inlineStr">
        <is>
          <t>☐ Not Started</t>
        </is>
      </c>
      <c r="L427" s="10" t="inlineStr"/>
    </row>
    <row r="428">
      <c r="A428" s="9" t="inlineStr">
        <is>
          <t>FastAPI</t>
        </is>
      </c>
      <c r="B428" s="9" t="inlineStr">
        <is>
          <t>API Dev</t>
        </is>
      </c>
      <c r="C428" s="9" t="inlineStr">
        <is>
          <t>JSON</t>
        </is>
      </c>
      <c r="D428" s="10" t="inlineStr">
        <is>
          <t>Day 86</t>
        </is>
      </c>
      <c r="E428" s="10" t="inlineStr">
        <is>
          <t>30 min</t>
        </is>
      </c>
      <c r="F428" s="10" t="inlineStr">
        <is>
          <t>☐ Not Started</t>
        </is>
      </c>
      <c r="G428" s="10">
        <f>IF(F428="☑ Completed", "COMPLETED", "NOT STARTED")</f>
        <v/>
      </c>
      <c r="H428" s="10" t="inlineStr">
        <is>
          <t>Day 89</t>
        </is>
      </c>
      <c r="I428" s="10" t="inlineStr">
        <is>
          <t>☐ Not Started</t>
        </is>
      </c>
      <c r="J428" s="10" t="inlineStr">
        <is>
          <t>Day 93</t>
        </is>
      </c>
      <c r="K428" s="10" t="inlineStr">
        <is>
          <t>☐ Not Started</t>
        </is>
      </c>
      <c r="L428" s="10" t="inlineStr"/>
    </row>
    <row r="429">
      <c r="A429" s="9" t="inlineStr">
        <is>
          <t>FastAPI</t>
        </is>
      </c>
      <c r="B429" s="9" t="inlineStr">
        <is>
          <t>API Dev</t>
        </is>
      </c>
      <c r="C429" s="9" t="inlineStr">
        <is>
          <t>Request</t>
        </is>
      </c>
      <c r="D429" s="10" t="inlineStr">
        <is>
          <t>Day 86</t>
        </is>
      </c>
      <c r="E429" s="10" t="inlineStr">
        <is>
          <t>30 min</t>
        </is>
      </c>
      <c r="F429" s="10" t="inlineStr">
        <is>
          <t>☐ Not Started</t>
        </is>
      </c>
      <c r="G429" s="10">
        <f>IF(F429="☑ Completed", "COMPLETED", "NOT STARTED")</f>
        <v/>
      </c>
      <c r="H429" s="10" t="inlineStr">
        <is>
          <t>Day 89</t>
        </is>
      </c>
      <c r="I429" s="10" t="inlineStr">
        <is>
          <t>☐ Not Started</t>
        </is>
      </c>
      <c r="J429" s="10" t="inlineStr">
        <is>
          <t>Day 93</t>
        </is>
      </c>
      <c r="K429" s="10" t="inlineStr">
        <is>
          <t>☐ Not Started</t>
        </is>
      </c>
      <c r="L429" s="10" t="inlineStr"/>
    </row>
    <row r="430">
      <c r="A430" s="9" t="inlineStr">
        <is>
          <t>FastAPI</t>
        </is>
      </c>
      <c r="B430" s="9" t="inlineStr">
        <is>
          <t>API Dev</t>
        </is>
      </c>
      <c r="C430" s="9" t="inlineStr">
        <is>
          <t>Response</t>
        </is>
      </c>
      <c r="D430" s="10" t="inlineStr">
        <is>
          <t>Day 86</t>
        </is>
      </c>
      <c r="E430" s="10" t="inlineStr">
        <is>
          <t>30 min</t>
        </is>
      </c>
      <c r="F430" s="10" t="inlineStr">
        <is>
          <t>☐ Not Started</t>
        </is>
      </c>
      <c r="G430" s="10">
        <f>IF(F430="☑ Completed", "COMPLETED", "NOT STARTED")</f>
        <v/>
      </c>
      <c r="H430" s="10" t="inlineStr">
        <is>
          <t>Day 89</t>
        </is>
      </c>
      <c r="I430" s="10" t="inlineStr">
        <is>
          <t>☐ Not Started</t>
        </is>
      </c>
      <c r="J430" s="10" t="inlineStr">
        <is>
          <t>Day 93</t>
        </is>
      </c>
      <c r="K430" s="10" t="inlineStr">
        <is>
          <t>☐ Not Started</t>
        </is>
      </c>
      <c r="L430" s="10" t="inlineStr"/>
    </row>
    <row r="431">
      <c r="A431" s="9" t="inlineStr">
        <is>
          <t>FastAPI</t>
        </is>
      </c>
      <c r="B431" s="9" t="inlineStr">
        <is>
          <t>API Dev</t>
        </is>
      </c>
      <c r="C431" s="9" t="inlineStr">
        <is>
          <t>Pydantic</t>
        </is>
      </c>
      <c r="D431" s="10" t="inlineStr">
        <is>
          <t>Day 86</t>
        </is>
      </c>
      <c r="E431" s="10" t="inlineStr">
        <is>
          <t>30 min</t>
        </is>
      </c>
      <c r="F431" s="10" t="inlineStr">
        <is>
          <t>☐ Not Started</t>
        </is>
      </c>
      <c r="G431" s="10">
        <f>IF(F431="☑ Completed", "COMPLETED", "NOT STARTED")</f>
        <v/>
      </c>
      <c r="H431" s="10" t="inlineStr">
        <is>
          <t>Day 89</t>
        </is>
      </c>
      <c r="I431" s="10" t="inlineStr">
        <is>
          <t>☐ Not Started</t>
        </is>
      </c>
      <c r="J431" s="10" t="inlineStr">
        <is>
          <t>Day 93</t>
        </is>
      </c>
      <c r="K431" s="10" t="inlineStr">
        <is>
          <t>☐ Not Started</t>
        </is>
      </c>
      <c r="L431" s="10" t="inlineStr"/>
    </row>
    <row r="432">
      <c r="A432" s="9" t="inlineStr">
        <is>
          <t>FastAPI</t>
        </is>
      </c>
      <c r="B432" s="9" t="inlineStr">
        <is>
          <t>API Dev</t>
        </is>
      </c>
      <c r="C432" s="9" t="inlineStr">
        <is>
          <t>Validation</t>
        </is>
      </c>
      <c r="D432" s="10" t="inlineStr">
        <is>
          <t>Day 87</t>
        </is>
      </c>
      <c r="E432" s="10" t="inlineStr">
        <is>
          <t>45 min</t>
        </is>
      </c>
      <c r="F432" s="10" t="inlineStr">
        <is>
          <t>☐ Not Started</t>
        </is>
      </c>
      <c r="G432" s="10">
        <f>IF(F432="☑ Completed", "COMPLETED", "NOT STARTED")</f>
        <v/>
      </c>
      <c r="H432" s="10" t="inlineStr">
        <is>
          <t>Day 90</t>
        </is>
      </c>
      <c r="I432" s="10" t="inlineStr">
        <is>
          <t>☐ Not Started</t>
        </is>
      </c>
      <c r="J432" s="10" t="inlineStr">
        <is>
          <t>Day 94</t>
        </is>
      </c>
      <c r="K432" s="10" t="inlineStr">
        <is>
          <t>☐ Not Started</t>
        </is>
      </c>
      <c r="L432" s="10" t="inlineStr"/>
    </row>
    <row r="433">
      <c r="A433" s="9" t="inlineStr">
        <is>
          <t>FastAPI</t>
        </is>
      </c>
      <c r="B433" s="9" t="inlineStr">
        <is>
          <t>API Dev</t>
        </is>
      </c>
      <c r="C433" s="9" t="inlineStr">
        <is>
          <t>AI model endpoint</t>
        </is>
      </c>
      <c r="D433" s="10" t="inlineStr">
        <is>
          <t>Day 87</t>
        </is>
      </c>
      <c r="E433" s="10" t="inlineStr">
        <is>
          <t>30 min</t>
        </is>
      </c>
      <c r="F433" s="10" t="inlineStr">
        <is>
          <t>☐ Not Started</t>
        </is>
      </c>
      <c r="G433" s="10">
        <f>IF(F433="☑ Completed", "COMPLETED", "NOT STARTED")</f>
        <v/>
      </c>
      <c r="H433" s="10" t="inlineStr">
        <is>
          <t>Day 90</t>
        </is>
      </c>
      <c r="I433" s="10" t="inlineStr">
        <is>
          <t>☐ Not Started</t>
        </is>
      </c>
      <c r="J433" s="10" t="inlineStr">
        <is>
          <t>Day 94</t>
        </is>
      </c>
      <c r="K433" s="10" t="inlineStr">
        <is>
          <t>☐ Not Started</t>
        </is>
      </c>
      <c r="L433" s="10" t="inlineStr"/>
    </row>
    <row r="434">
      <c r="A434" s="9" t="inlineStr">
        <is>
          <t>FastAPI</t>
        </is>
      </c>
      <c r="B434" s="9" t="inlineStr">
        <is>
          <t>API Dev</t>
        </is>
      </c>
      <c r="C434" s="9" t="inlineStr">
        <is>
          <t>RAG endpoint</t>
        </is>
      </c>
      <c r="D434" s="10" t="inlineStr">
        <is>
          <t>Day 87</t>
        </is>
      </c>
      <c r="E434" s="10" t="inlineStr">
        <is>
          <t>30 min</t>
        </is>
      </c>
      <c r="F434" s="10" t="inlineStr">
        <is>
          <t>☐ Not Started</t>
        </is>
      </c>
      <c r="G434" s="10">
        <f>IF(F434="☑ Completed", "COMPLETED", "NOT STARTED")</f>
        <v/>
      </c>
      <c r="H434" s="10" t="inlineStr">
        <is>
          <t>Day 90</t>
        </is>
      </c>
      <c r="I434" s="10" t="inlineStr">
        <is>
          <t>☐ Not Started</t>
        </is>
      </c>
      <c r="J434" s="10" t="inlineStr">
        <is>
          <t>Day 94</t>
        </is>
      </c>
      <c r="K434" s="10" t="inlineStr">
        <is>
          <t>☐ Not Started</t>
        </is>
      </c>
      <c r="L434" s="10" t="inlineStr"/>
    </row>
    <row r="435">
      <c r="A435" s="9" t="inlineStr">
        <is>
          <t>FastAPI</t>
        </is>
      </c>
      <c r="B435" s="9" t="inlineStr">
        <is>
          <t>API Dev</t>
        </is>
      </c>
      <c r="C435" s="9" t="inlineStr">
        <is>
          <t>API testing</t>
        </is>
      </c>
      <c r="D435" s="10" t="inlineStr">
        <is>
          <t>Day 87</t>
        </is>
      </c>
      <c r="E435" s="10" t="inlineStr">
        <is>
          <t>30 min</t>
        </is>
      </c>
      <c r="F435" s="10" t="inlineStr">
        <is>
          <t>☐ Not Started</t>
        </is>
      </c>
      <c r="G435" s="10">
        <f>IF(F435="☑ Completed", "COMPLETED", "NOT STARTED")</f>
        <v/>
      </c>
      <c r="H435" s="10" t="inlineStr">
        <is>
          <t>Day 90</t>
        </is>
      </c>
      <c r="I435" s="10" t="inlineStr">
        <is>
          <t>☐ Not Started</t>
        </is>
      </c>
      <c r="J435" s="10" t="inlineStr">
        <is>
          <t>Day 94</t>
        </is>
      </c>
      <c r="K435" s="10" t="inlineStr">
        <is>
          <t>☐ Not Started</t>
        </is>
      </c>
      <c r="L435" s="10" t="inlineStr"/>
    </row>
    <row r="436">
      <c r="A436" s="9" t="inlineStr">
        <is>
          <t>Git</t>
        </is>
      </c>
      <c r="B436" s="9" t="inlineStr">
        <is>
          <t>Version Control</t>
        </is>
      </c>
      <c r="C436" s="9" t="inlineStr">
        <is>
          <t>git init</t>
        </is>
      </c>
      <c r="D436" s="10" t="inlineStr">
        <is>
          <t>Day 87</t>
        </is>
      </c>
      <c r="E436" s="10" t="inlineStr">
        <is>
          <t>30 min</t>
        </is>
      </c>
      <c r="F436" s="10" t="inlineStr">
        <is>
          <t>☐ Not Started</t>
        </is>
      </c>
      <c r="G436" s="10">
        <f>IF(F436="☑ Completed", "COMPLETED", "NOT STARTED")</f>
        <v/>
      </c>
      <c r="H436" s="10" t="inlineStr">
        <is>
          <t>Day 90</t>
        </is>
      </c>
      <c r="I436" s="10" t="inlineStr">
        <is>
          <t>☐ Not Started</t>
        </is>
      </c>
      <c r="J436" s="10" t="inlineStr">
        <is>
          <t>Day 94</t>
        </is>
      </c>
      <c r="K436" s="10" t="inlineStr">
        <is>
          <t>☐ Not Started</t>
        </is>
      </c>
      <c r="L436" s="10" t="inlineStr"/>
    </row>
    <row r="437">
      <c r="A437" s="9" t="inlineStr">
        <is>
          <t>Git</t>
        </is>
      </c>
      <c r="B437" s="9" t="inlineStr">
        <is>
          <t>Version Control</t>
        </is>
      </c>
      <c r="C437" s="9" t="inlineStr">
        <is>
          <t>git clone</t>
        </is>
      </c>
      <c r="D437" s="10" t="inlineStr">
        <is>
          <t>Day 88</t>
        </is>
      </c>
      <c r="E437" s="10" t="inlineStr">
        <is>
          <t>45 min</t>
        </is>
      </c>
      <c r="F437" s="10" t="inlineStr">
        <is>
          <t>☐ Not Started</t>
        </is>
      </c>
      <c r="G437" s="10">
        <f>IF(F437="☑ Completed", "COMPLETED", "NOT STARTED")</f>
        <v/>
      </c>
      <c r="H437" s="10" t="inlineStr">
        <is>
          <t>Day 91</t>
        </is>
      </c>
      <c r="I437" s="10" t="inlineStr">
        <is>
          <t>☐ Not Started</t>
        </is>
      </c>
      <c r="J437" s="10" t="inlineStr">
        <is>
          <t>Day 95</t>
        </is>
      </c>
      <c r="K437" s="10" t="inlineStr">
        <is>
          <t>☐ Not Started</t>
        </is>
      </c>
      <c r="L437" s="10" t="inlineStr"/>
    </row>
    <row r="438">
      <c r="A438" s="9" t="inlineStr">
        <is>
          <t>Git</t>
        </is>
      </c>
      <c r="B438" s="9" t="inlineStr">
        <is>
          <t>Version Control</t>
        </is>
      </c>
      <c r="C438" s="9" t="inlineStr">
        <is>
          <t>git add</t>
        </is>
      </c>
      <c r="D438" s="10" t="inlineStr">
        <is>
          <t>Day 88</t>
        </is>
      </c>
      <c r="E438" s="10" t="inlineStr">
        <is>
          <t>30 min</t>
        </is>
      </c>
      <c r="F438" s="10" t="inlineStr">
        <is>
          <t>☐ Not Started</t>
        </is>
      </c>
      <c r="G438" s="10">
        <f>IF(F438="☑ Completed", "COMPLETED", "NOT STARTED")</f>
        <v/>
      </c>
      <c r="H438" s="10" t="inlineStr">
        <is>
          <t>Day 91</t>
        </is>
      </c>
      <c r="I438" s="10" t="inlineStr">
        <is>
          <t>☐ Not Started</t>
        </is>
      </c>
      <c r="J438" s="10" t="inlineStr">
        <is>
          <t>Day 95</t>
        </is>
      </c>
      <c r="K438" s="10" t="inlineStr">
        <is>
          <t>☐ Not Started</t>
        </is>
      </c>
      <c r="L438" s="10" t="inlineStr"/>
    </row>
    <row r="439">
      <c r="A439" s="9" t="inlineStr">
        <is>
          <t>Git</t>
        </is>
      </c>
      <c r="B439" s="9" t="inlineStr">
        <is>
          <t>Version Control</t>
        </is>
      </c>
      <c r="C439" s="9" t="inlineStr">
        <is>
          <t>git commit</t>
        </is>
      </c>
      <c r="D439" s="10" t="inlineStr">
        <is>
          <t>Day 88</t>
        </is>
      </c>
      <c r="E439" s="10" t="inlineStr">
        <is>
          <t>30 min</t>
        </is>
      </c>
      <c r="F439" s="10" t="inlineStr">
        <is>
          <t>☐ Not Started</t>
        </is>
      </c>
      <c r="G439" s="10">
        <f>IF(F439="☑ Completed", "COMPLETED", "NOT STARTED")</f>
        <v/>
      </c>
      <c r="H439" s="10" t="inlineStr">
        <is>
          <t>Day 91</t>
        </is>
      </c>
      <c r="I439" s="10" t="inlineStr">
        <is>
          <t>☐ Not Started</t>
        </is>
      </c>
      <c r="J439" s="10" t="inlineStr">
        <is>
          <t>Day 95</t>
        </is>
      </c>
      <c r="K439" s="10" t="inlineStr">
        <is>
          <t>☐ Not Started</t>
        </is>
      </c>
      <c r="L439" s="10" t="inlineStr"/>
    </row>
    <row r="440">
      <c r="A440" s="9" t="inlineStr">
        <is>
          <t>Git</t>
        </is>
      </c>
      <c r="B440" s="9" t="inlineStr">
        <is>
          <t>Version Control</t>
        </is>
      </c>
      <c r="C440" s="9" t="inlineStr">
        <is>
          <t>git push</t>
        </is>
      </c>
      <c r="D440" s="10" t="inlineStr">
        <is>
          <t>Day 88</t>
        </is>
      </c>
      <c r="E440" s="10" t="inlineStr">
        <is>
          <t>30 min</t>
        </is>
      </c>
      <c r="F440" s="10" t="inlineStr">
        <is>
          <t>☐ Not Started</t>
        </is>
      </c>
      <c r="G440" s="10">
        <f>IF(F440="☑ Completed", "COMPLETED", "NOT STARTED")</f>
        <v/>
      </c>
      <c r="H440" s="10" t="inlineStr">
        <is>
          <t>Day 91</t>
        </is>
      </c>
      <c r="I440" s="10" t="inlineStr">
        <is>
          <t>☐ Not Started</t>
        </is>
      </c>
      <c r="J440" s="10" t="inlineStr">
        <is>
          <t>Day 95</t>
        </is>
      </c>
      <c r="K440" s="10" t="inlineStr">
        <is>
          <t>☐ Not Started</t>
        </is>
      </c>
      <c r="L440" s="10" t="inlineStr"/>
    </row>
    <row r="441">
      <c r="A441" s="9" t="inlineStr">
        <is>
          <t>Git</t>
        </is>
      </c>
      <c r="B441" s="9" t="inlineStr">
        <is>
          <t>Version Control</t>
        </is>
      </c>
      <c r="C441" s="9" t="inlineStr">
        <is>
          <t>git pull</t>
        </is>
      </c>
      <c r="D441" s="10" t="inlineStr">
        <is>
          <t>Day 88</t>
        </is>
      </c>
      <c r="E441" s="10" t="inlineStr">
        <is>
          <t>30 min</t>
        </is>
      </c>
      <c r="F441" s="10" t="inlineStr">
        <is>
          <t>☐ Not Started</t>
        </is>
      </c>
      <c r="G441" s="10">
        <f>IF(F441="☑ Completed", "COMPLETED", "NOT STARTED")</f>
        <v/>
      </c>
      <c r="H441" s="10" t="inlineStr">
        <is>
          <t>Day 91</t>
        </is>
      </c>
      <c r="I441" s="10" t="inlineStr">
        <is>
          <t>☐ Not Started</t>
        </is>
      </c>
      <c r="J441" s="10" t="inlineStr">
        <is>
          <t>Day 95</t>
        </is>
      </c>
      <c r="K441" s="10" t="inlineStr">
        <is>
          <t>☐ Not Started</t>
        </is>
      </c>
      <c r="L441" s="10" t="inlineStr"/>
    </row>
    <row r="442">
      <c r="A442" s="9" t="inlineStr">
        <is>
          <t>Git</t>
        </is>
      </c>
      <c r="B442" s="9" t="inlineStr">
        <is>
          <t>Version Control</t>
        </is>
      </c>
      <c r="C442" s="9" t="inlineStr">
        <is>
          <t>branch</t>
        </is>
      </c>
      <c r="D442" s="10" t="inlineStr">
        <is>
          <t>Day 89</t>
        </is>
      </c>
      <c r="E442" s="10" t="inlineStr">
        <is>
          <t>45 min</t>
        </is>
      </c>
      <c r="F442" s="10" t="inlineStr">
        <is>
          <t>☐ Not Started</t>
        </is>
      </c>
      <c r="G442" s="10">
        <f>IF(F442="☑ Completed", "COMPLETED", "NOT STARTED")</f>
        <v/>
      </c>
      <c r="H442" s="10" t="inlineStr">
        <is>
          <t>Day 92</t>
        </is>
      </c>
      <c r="I442" s="10" t="inlineStr">
        <is>
          <t>☐ Not Started</t>
        </is>
      </c>
      <c r="J442" s="10" t="inlineStr">
        <is>
          <t>Day 96</t>
        </is>
      </c>
      <c r="K442" s="10" t="inlineStr">
        <is>
          <t>☐ Not Started</t>
        </is>
      </c>
      <c r="L442" s="10" t="inlineStr"/>
    </row>
    <row r="443">
      <c r="A443" s="9" t="inlineStr">
        <is>
          <t>Git</t>
        </is>
      </c>
      <c r="B443" s="9" t="inlineStr">
        <is>
          <t>Version Control</t>
        </is>
      </c>
      <c r="C443" s="9" t="inlineStr">
        <is>
          <t>merge</t>
        </is>
      </c>
      <c r="D443" s="10" t="inlineStr">
        <is>
          <t>Day 89</t>
        </is>
      </c>
      <c r="E443" s="10" t="inlineStr">
        <is>
          <t>30 min</t>
        </is>
      </c>
      <c r="F443" s="10" t="inlineStr">
        <is>
          <t>☐ Not Started</t>
        </is>
      </c>
      <c r="G443" s="10">
        <f>IF(F443="☑ Completed", "COMPLETED", "NOT STARTED")</f>
        <v/>
      </c>
      <c r="H443" s="10" t="inlineStr">
        <is>
          <t>Day 92</t>
        </is>
      </c>
      <c r="I443" s="10" t="inlineStr">
        <is>
          <t>☐ Not Started</t>
        </is>
      </c>
      <c r="J443" s="10" t="inlineStr">
        <is>
          <t>Day 96</t>
        </is>
      </c>
      <c r="K443" s="10" t="inlineStr">
        <is>
          <t>☐ Not Started</t>
        </is>
      </c>
      <c r="L443" s="10" t="inlineStr"/>
    </row>
    <row r="444">
      <c r="A444" s="9" t="inlineStr">
        <is>
          <t>Git</t>
        </is>
      </c>
      <c r="B444" s="9" t="inlineStr">
        <is>
          <t>Version Control</t>
        </is>
      </c>
      <c r="C444" s="9" t="inlineStr">
        <is>
          <t>.gitignore</t>
        </is>
      </c>
      <c r="D444" s="10" t="inlineStr">
        <is>
          <t>Day 89</t>
        </is>
      </c>
      <c r="E444" s="10" t="inlineStr">
        <is>
          <t>30 min</t>
        </is>
      </c>
      <c r="F444" s="10" t="inlineStr">
        <is>
          <t>☐ Not Started</t>
        </is>
      </c>
      <c r="G444" s="10">
        <f>IF(F444="☑ Completed", "COMPLETED", "NOT STARTED")</f>
        <v/>
      </c>
      <c r="H444" s="10" t="inlineStr">
        <is>
          <t>Day 92</t>
        </is>
      </c>
      <c r="I444" s="10" t="inlineStr">
        <is>
          <t>☐ Not Started</t>
        </is>
      </c>
      <c r="J444" s="10" t="inlineStr">
        <is>
          <t>Day 96</t>
        </is>
      </c>
      <c r="K444" s="10" t="inlineStr">
        <is>
          <t>☐ Not Started</t>
        </is>
      </c>
      <c r="L444" s="10" t="inlineStr"/>
    </row>
    <row r="445">
      <c r="A445" s="9" t="inlineStr">
        <is>
          <t>Git</t>
        </is>
      </c>
      <c r="B445" s="9" t="inlineStr">
        <is>
          <t>Version Control</t>
        </is>
      </c>
      <c r="C445" s="9" t="inlineStr">
        <is>
          <t>README</t>
        </is>
      </c>
      <c r="D445" s="10" t="inlineStr">
        <is>
          <t>Day 89</t>
        </is>
      </c>
      <c r="E445" s="10" t="inlineStr">
        <is>
          <t>30 min</t>
        </is>
      </c>
      <c r="F445" s="10" t="inlineStr">
        <is>
          <t>☐ Not Started</t>
        </is>
      </c>
      <c r="G445" s="10">
        <f>IF(F445="☑ Completed", "COMPLETED", "NOT STARTED")</f>
        <v/>
      </c>
      <c r="H445" s="10" t="inlineStr">
        <is>
          <t>Day 92</t>
        </is>
      </c>
      <c r="I445" s="10" t="inlineStr">
        <is>
          <t>☐ Not Started</t>
        </is>
      </c>
      <c r="J445" s="10" t="inlineStr">
        <is>
          <t>Day 96</t>
        </is>
      </c>
      <c r="K445" s="10" t="inlineStr">
        <is>
          <t>☐ Not Started</t>
        </is>
      </c>
      <c r="L445" s="10" t="inlineStr"/>
    </row>
    <row r="446">
      <c r="A446" s="9" t="inlineStr">
        <is>
          <t>Docker</t>
        </is>
      </c>
      <c r="B446" s="9" t="inlineStr">
        <is>
          <t>Containerization</t>
        </is>
      </c>
      <c r="C446" s="9" t="inlineStr">
        <is>
          <t>Docker concept</t>
        </is>
      </c>
      <c r="D446" s="10" t="inlineStr">
        <is>
          <t>Day 89</t>
        </is>
      </c>
      <c r="E446" s="10" t="inlineStr">
        <is>
          <t>30 min</t>
        </is>
      </c>
      <c r="F446" s="10" t="inlineStr">
        <is>
          <t>☐ Not Started</t>
        </is>
      </c>
      <c r="G446" s="10">
        <f>IF(F446="☑ Completed", "COMPLETED", "NOT STARTED")</f>
        <v/>
      </c>
      <c r="H446" s="10" t="inlineStr">
        <is>
          <t>Day 92</t>
        </is>
      </c>
      <c r="I446" s="10" t="inlineStr">
        <is>
          <t>☐ Not Started</t>
        </is>
      </c>
      <c r="J446" s="10" t="inlineStr">
        <is>
          <t>Day 96</t>
        </is>
      </c>
      <c r="K446" s="10" t="inlineStr">
        <is>
          <t>☐ Not Started</t>
        </is>
      </c>
      <c r="L446" s="10" t="inlineStr"/>
    </row>
    <row r="447">
      <c r="A447" s="9" t="inlineStr">
        <is>
          <t>Docker</t>
        </is>
      </c>
      <c r="B447" s="9" t="inlineStr">
        <is>
          <t>Containerization</t>
        </is>
      </c>
      <c r="C447" s="9" t="inlineStr">
        <is>
          <t>Image</t>
        </is>
      </c>
      <c r="D447" s="10" t="inlineStr">
        <is>
          <t>Day 90</t>
        </is>
      </c>
      <c r="E447" s="10" t="inlineStr">
        <is>
          <t>45 min</t>
        </is>
      </c>
      <c r="F447" s="10" t="inlineStr">
        <is>
          <t>☐ Not Started</t>
        </is>
      </c>
      <c r="G447" s="10">
        <f>IF(F447="☑ Completed", "COMPLETED", "NOT STARTED")</f>
        <v/>
      </c>
      <c r="H447" s="10" t="inlineStr">
        <is>
          <t>Day 93</t>
        </is>
      </c>
      <c r="I447" s="10" t="inlineStr">
        <is>
          <t>☐ Not Started</t>
        </is>
      </c>
      <c r="J447" s="10" t="inlineStr">
        <is>
          <t>Day 97</t>
        </is>
      </c>
      <c r="K447" s="10" t="inlineStr">
        <is>
          <t>☐ Not Started</t>
        </is>
      </c>
      <c r="L447" s="10" t="inlineStr"/>
    </row>
    <row r="448">
      <c r="A448" s="9" t="inlineStr">
        <is>
          <t>Docker</t>
        </is>
      </c>
      <c r="B448" s="9" t="inlineStr">
        <is>
          <t>Containerization</t>
        </is>
      </c>
      <c r="C448" s="9" t="inlineStr">
        <is>
          <t>Container</t>
        </is>
      </c>
      <c r="D448" s="10" t="inlineStr">
        <is>
          <t>Day 90</t>
        </is>
      </c>
      <c r="E448" s="10" t="inlineStr">
        <is>
          <t>30 min</t>
        </is>
      </c>
      <c r="F448" s="10" t="inlineStr">
        <is>
          <t>☐ Not Started</t>
        </is>
      </c>
      <c r="G448" s="10">
        <f>IF(F448="☑ Completed", "COMPLETED", "NOT STARTED")</f>
        <v/>
      </c>
      <c r="H448" s="10" t="inlineStr">
        <is>
          <t>Day 93</t>
        </is>
      </c>
      <c r="I448" s="10" t="inlineStr">
        <is>
          <t>☐ Not Started</t>
        </is>
      </c>
      <c r="J448" s="10" t="inlineStr">
        <is>
          <t>Day 97</t>
        </is>
      </c>
      <c r="K448" s="10" t="inlineStr">
        <is>
          <t>☐ Not Started</t>
        </is>
      </c>
      <c r="L448" s="10" t="inlineStr"/>
    </row>
    <row r="449">
      <c r="A449" s="9" t="inlineStr">
        <is>
          <t>Docker</t>
        </is>
      </c>
      <c r="B449" s="9" t="inlineStr">
        <is>
          <t>Containerization</t>
        </is>
      </c>
      <c r="C449" s="9" t="inlineStr">
        <is>
          <t>Dockerfile</t>
        </is>
      </c>
      <c r="D449" s="10" t="inlineStr">
        <is>
          <t>Day 90</t>
        </is>
      </c>
      <c r="E449" s="10" t="inlineStr">
        <is>
          <t>30 min</t>
        </is>
      </c>
      <c r="F449" s="10" t="inlineStr">
        <is>
          <t>☐ Not Started</t>
        </is>
      </c>
      <c r="G449" s="10">
        <f>IF(F449="☑ Completed", "COMPLETED", "NOT STARTED")</f>
        <v/>
      </c>
      <c r="H449" s="10" t="inlineStr">
        <is>
          <t>Day 93</t>
        </is>
      </c>
      <c r="I449" s="10" t="inlineStr">
        <is>
          <t>☐ Not Started</t>
        </is>
      </c>
      <c r="J449" s="10" t="inlineStr">
        <is>
          <t>Day 97</t>
        </is>
      </c>
      <c r="K449" s="10" t="inlineStr">
        <is>
          <t>☐ Not Started</t>
        </is>
      </c>
      <c r="L449" s="10" t="inlineStr"/>
    </row>
    <row r="450">
      <c r="A450" s="9" t="inlineStr">
        <is>
          <t>Docker</t>
        </is>
      </c>
      <c r="B450" s="9" t="inlineStr">
        <is>
          <t>Containerization</t>
        </is>
      </c>
      <c r="C450" s="9" t="inlineStr">
        <is>
          <t>Ports</t>
        </is>
      </c>
      <c r="D450" s="10" t="inlineStr">
        <is>
          <t>Day 90</t>
        </is>
      </c>
      <c r="E450" s="10" t="inlineStr">
        <is>
          <t>30 min</t>
        </is>
      </c>
      <c r="F450" s="10" t="inlineStr">
        <is>
          <t>☐ Not Started</t>
        </is>
      </c>
      <c r="G450" s="10">
        <f>IF(F450="☑ Completed", "COMPLETED", "NOT STARTED")</f>
        <v/>
      </c>
      <c r="H450" s="10" t="inlineStr">
        <is>
          <t>Day 93</t>
        </is>
      </c>
      <c r="I450" s="10" t="inlineStr">
        <is>
          <t>☐ Not Started</t>
        </is>
      </c>
      <c r="J450" s="10" t="inlineStr">
        <is>
          <t>Day 97</t>
        </is>
      </c>
      <c r="K450" s="10" t="inlineStr">
        <is>
          <t>☐ Not Started</t>
        </is>
      </c>
      <c r="L450" s="10" t="inlineStr"/>
    </row>
    <row r="451">
      <c r="A451" s="9" t="inlineStr">
        <is>
          <t>Docker</t>
        </is>
      </c>
      <c r="B451" s="9" t="inlineStr">
        <is>
          <t>Containerization</t>
        </is>
      </c>
      <c r="C451" s="9" t="inlineStr">
        <is>
          <t>Environment variables</t>
        </is>
      </c>
      <c r="D451" s="10" t="inlineStr">
        <is>
          <t>Day 90</t>
        </is>
      </c>
      <c r="E451" s="10" t="inlineStr">
        <is>
          <t>30 min</t>
        </is>
      </c>
      <c r="F451" s="10" t="inlineStr">
        <is>
          <t>☐ Not Started</t>
        </is>
      </c>
      <c r="G451" s="10">
        <f>IF(F451="☑ Completed", "COMPLETED", "NOT STARTED")</f>
        <v/>
      </c>
      <c r="H451" s="10" t="inlineStr">
        <is>
          <t>Day 93</t>
        </is>
      </c>
      <c r="I451" s="10" t="inlineStr">
        <is>
          <t>☐ Not Started</t>
        </is>
      </c>
      <c r="J451" s="10" t="inlineStr">
        <is>
          <t>Day 97</t>
        </is>
      </c>
      <c r="K451" s="10" t="inlineStr">
        <is>
          <t>☐ Not Started</t>
        </is>
      </c>
      <c r="L451" s="10" t="inlineStr"/>
    </row>
    <row r="452">
      <c r="A452" s="9" t="inlineStr">
        <is>
          <t>Docker</t>
        </is>
      </c>
      <c r="B452" s="9" t="inlineStr">
        <is>
          <t>Containerization</t>
        </is>
      </c>
      <c r="C452" s="9" t="inlineStr">
        <is>
          <t>requirements</t>
        </is>
      </c>
      <c r="D452" s="10" t="inlineStr">
        <is>
          <t>Day 91</t>
        </is>
      </c>
      <c r="E452" s="10" t="inlineStr">
        <is>
          <t>45 min</t>
        </is>
      </c>
      <c r="F452" s="10" t="inlineStr">
        <is>
          <t>☐ Not Started</t>
        </is>
      </c>
      <c r="G452" s="10">
        <f>IF(F452="☑ Completed", "COMPLETED", "NOT STARTED")</f>
        <v/>
      </c>
      <c r="H452" s="10" t="inlineStr">
        <is>
          <t>Day 94</t>
        </is>
      </c>
      <c r="I452" s="10" t="inlineStr">
        <is>
          <t>☐ Not Started</t>
        </is>
      </c>
      <c r="J452" s="10" t="inlineStr">
        <is>
          <t>Day 98</t>
        </is>
      </c>
      <c r="K452" s="10" t="inlineStr">
        <is>
          <t>☐ Not Started</t>
        </is>
      </c>
      <c r="L452" s="10" t="inlineStr"/>
    </row>
    <row r="453">
      <c r="A453" s="9" t="inlineStr">
        <is>
          <t>Deployment</t>
        </is>
      </c>
      <c r="B453" s="9" t="inlineStr">
        <is>
          <t>Cloud</t>
        </is>
      </c>
      <c r="C453" s="9" t="inlineStr">
        <is>
          <t>Streamlit deployment</t>
        </is>
      </c>
      <c r="D453" s="10" t="inlineStr">
        <is>
          <t>Day 91</t>
        </is>
      </c>
      <c r="E453" s="10" t="inlineStr">
        <is>
          <t>30 min</t>
        </is>
      </c>
      <c r="F453" s="10" t="inlineStr">
        <is>
          <t>☐ Not Started</t>
        </is>
      </c>
      <c r="G453" s="10">
        <f>IF(F453="☑ Completed", "COMPLETED", "NOT STARTED")</f>
        <v/>
      </c>
      <c r="H453" s="10" t="inlineStr">
        <is>
          <t>Day 94</t>
        </is>
      </c>
      <c r="I453" s="10" t="inlineStr">
        <is>
          <t>☐ Not Started</t>
        </is>
      </c>
      <c r="J453" s="10" t="inlineStr">
        <is>
          <t>Day 98</t>
        </is>
      </c>
      <c r="K453" s="10" t="inlineStr">
        <is>
          <t>☐ Not Started</t>
        </is>
      </c>
      <c r="L453" s="10" t="inlineStr"/>
    </row>
    <row r="454">
      <c r="A454" s="9" t="inlineStr">
        <is>
          <t>Deployment</t>
        </is>
      </c>
      <c r="B454" s="9" t="inlineStr">
        <is>
          <t>Cloud</t>
        </is>
      </c>
      <c r="C454" s="9" t="inlineStr">
        <is>
          <t>API deployment concept</t>
        </is>
      </c>
      <c r="D454" s="10" t="inlineStr">
        <is>
          <t>Day 91</t>
        </is>
      </c>
      <c r="E454" s="10" t="inlineStr">
        <is>
          <t>30 min</t>
        </is>
      </c>
      <c r="F454" s="10" t="inlineStr">
        <is>
          <t>☐ Not Started</t>
        </is>
      </c>
      <c r="G454" s="10">
        <f>IF(F454="☑ Completed", "COMPLETED", "NOT STARTED")</f>
        <v/>
      </c>
      <c r="H454" s="10" t="inlineStr">
        <is>
          <t>Day 94</t>
        </is>
      </c>
      <c r="I454" s="10" t="inlineStr">
        <is>
          <t>☐ Not Started</t>
        </is>
      </c>
      <c r="J454" s="10" t="inlineStr">
        <is>
          <t>Day 98</t>
        </is>
      </c>
      <c r="K454" s="10" t="inlineStr">
        <is>
          <t>☐ Not Started</t>
        </is>
      </c>
      <c r="L454" s="10" t="inlineStr"/>
    </row>
    <row r="455">
      <c r="A455" s="9" t="inlineStr">
        <is>
          <t>Deployment</t>
        </is>
      </c>
      <c r="B455" s="9" t="inlineStr">
        <is>
          <t>Cloud</t>
        </is>
      </c>
      <c r="C455" s="9" t="inlineStr">
        <is>
          <t>Environment variables</t>
        </is>
      </c>
      <c r="D455" s="10" t="inlineStr">
        <is>
          <t>Day 91</t>
        </is>
      </c>
      <c r="E455" s="10" t="inlineStr">
        <is>
          <t>30 min</t>
        </is>
      </c>
      <c r="F455" s="10" t="inlineStr">
        <is>
          <t>☐ Not Started</t>
        </is>
      </c>
      <c r="G455" s="10">
        <f>IF(F455="☑ Completed", "COMPLETED", "NOT STARTED")</f>
        <v/>
      </c>
      <c r="H455" s="10" t="inlineStr">
        <is>
          <t>Day 94</t>
        </is>
      </c>
      <c r="I455" s="10" t="inlineStr">
        <is>
          <t>☐ Not Started</t>
        </is>
      </c>
      <c r="J455" s="10" t="inlineStr">
        <is>
          <t>Day 98</t>
        </is>
      </c>
      <c r="K455" s="10" t="inlineStr">
        <is>
          <t>☐ Not Started</t>
        </is>
      </c>
      <c r="L455" s="10" t="inlineStr"/>
    </row>
    <row r="456">
      <c r="A456" s="9" t="inlineStr">
        <is>
          <t>Deployment</t>
        </is>
      </c>
      <c r="B456" s="9" t="inlineStr">
        <is>
          <t>Cloud</t>
        </is>
      </c>
      <c r="C456" s="9" t="inlineStr">
        <is>
          <t>Basic cloud concepts</t>
        </is>
      </c>
      <c r="D456" s="10" t="inlineStr">
        <is>
          <t>Day 91</t>
        </is>
      </c>
      <c r="E456" s="10" t="inlineStr">
        <is>
          <t>30 min</t>
        </is>
      </c>
      <c r="F456" s="10" t="inlineStr">
        <is>
          <t>☐ Not Started</t>
        </is>
      </c>
      <c r="G456" s="10">
        <f>IF(F456="☑ Completed", "COMPLETED", "NOT STARTED")</f>
        <v/>
      </c>
      <c r="H456" s="10" t="inlineStr">
        <is>
          <t>Day 94</t>
        </is>
      </c>
      <c r="I456" s="10" t="inlineStr">
        <is>
          <t>☐ Not Started</t>
        </is>
      </c>
      <c r="J456" s="10" t="inlineStr">
        <is>
          <t>Day 98</t>
        </is>
      </c>
      <c r="K456" s="10" t="inlineStr">
        <is>
          <t>☐ Not Started</t>
        </is>
      </c>
      <c r="L456" s="10" t="inlineStr"/>
    </row>
    <row r="457">
      <c r="A457" s="9" t="inlineStr">
        <is>
          <t>Project</t>
        </is>
      </c>
      <c r="B457" s="9" t="inlineStr">
        <is>
          <t>Resume Analyzer</t>
        </is>
      </c>
      <c r="C457" s="9" t="inlineStr">
        <is>
          <t>Project architecture</t>
        </is>
      </c>
      <c r="D457" s="10" t="inlineStr">
        <is>
          <t>Day 92</t>
        </is>
      </c>
      <c r="E457" s="10" t="inlineStr">
        <is>
          <t>45 min</t>
        </is>
      </c>
      <c r="F457" s="10" t="inlineStr">
        <is>
          <t>☐ Not Started</t>
        </is>
      </c>
      <c r="G457" s="10">
        <f>IF(F457="☑ Completed", "COMPLETED", "NOT STARTED")</f>
        <v/>
      </c>
      <c r="H457" s="10" t="inlineStr">
        <is>
          <t>Day 95</t>
        </is>
      </c>
      <c r="I457" s="10" t="inlineStr">
        <is>
          <t>☐ Not Started</t>
        </is>
      </c>
      <c r="J457" s="10" t="inlineStr">
        <is>
          <t>Day 99</t>
        </is>
      </c>
      <c r="K457" s="10" t="inlineStr">
        <is>
          <t>☐ Not Started</t>
        </is>
      </c>
      <c r="L457" s="10" t="inlineStr"/>
    </row>
    <row r="458">
      <c r="A458" s="9" t="inlineStr">
        <is>
          <t>Project</t>
        </is>
      </c>
      <c r="B458" s="9" t="inlineStr">
        <is>
          <t>Resume Analyzer</t>
        </is>
      </c>
      <c r="C458" s="9" t="inlineStr">
        <is>
          <t>PDF upload</t>
        </is>
      </c>
      <c r="D458" s="10" t="inlineStr">
        <is>
          <t>Day 92</t>
        </is>
      </c>
      <c r="E458" s="10" t="inlineStr">
        <is>
          <t>30 min</t>
        </is>
      </c>
      <c r="F458" s="10" t="inlineStr">
        <is>
          <t>☐ Not Started</t>
        </is>
      </c>
      <c r="G458" s="10">
        <f>IF(F458="☑ Completed", "COMPLETED", "NOT STARTED")</f>
        <v/>
      </c>
      <c r="H458" s="10" t="inlineStr">
        <is>
          <t>Day 95</t>
        </is>
      </c>
      <c r="I458" s="10" t="inlineStr">
        <is>
          <t>☐ Not Started</t>
        </is>
      </c>
      <c r="J458" s="10" t="inlineStr">
        <is>
          <t>Day 99</t>
        </is>
      </c>
      <c r="K458" s="10" t="inlineStr">
        <is>
          <t>☐ Not Started</t>
        </is>
      </c>
      <c r="L458" s="10" t="inlineStr"/>
    </row>
    <row r="459">
      <c r="A459" s="9" t="inlineStr">
        <is>
          <t>Project</t>
        </is>
      </c>
      <c r="B459" s="9" t="inlineStr">
        <is>
          <t>Resume Analyzer</t>
        </is>
      </c>
      <c r="C459" s="9" t="inlineStr">
        <is>
          <t>PDF text extraction</t>
        </is>
      </c>
      <c r="D459" s="10" t="inlineStr">
        <is>
          <t>Day 92</t>
        </is>
      </c>
      <c r="E459" s="10" t="inlineStr">
        <is>
          <t>30 min</t>
        </is>
      </c>
      <c r="F459" s="10" t="inlineStr">
        <is>
          <t>☐ Not Started</t>
        </is>
      </c>
      <c r="G459" s="10">
        <f>IF(F459="☑ Completed", "COMPLETED", "NOT STARTED")</f>
        <v/>
      </c>
      <c r="H459" s="10" t="inlineStr">
        <is>
          <t>Day 95</t>
        </is>
      </c>
      <c r="I459" s="10" t="inlineStr">
        <is>
          <t>☐ Not Started</t>
        </is>
      </c>
      <c r="J459" s="10" t="inlineStr">
        <is>
          <t>Day 99</t>
        </is>
      </c>
      <c r="K459" s="10" t="inlineStr">
        <is>
          <t>☐ Not Started</t>
        </is>
      </c>
      <c r="L459" s="10" t="inlineStr"/>
    </row>
    <row r="460">
      <c r="A460" s="9" t="inlineStr">
        <is>
          <t>Project</t>
        </is>
      </c>
      <c r="B460" s="9" t="inlineStr">
        <is>
          <t>Resume Analyzer</t>
        </is>
      </c>
      <c r="C460" s="9" t="inlineStr">
        <is>
          <t>Resume cleaning</t>
        </is>
      </c>
      <c r="D460" s="10" t="inlineStr">
        <is>
          <t>Day 92</t>
        </is>
      </c>
      <c r="E460" s="10" t="inlineStr">
        <is>
          <t>30 min</t>
        </is>
      </c>
      <c r="F460" s="10" t="inlineStr">
        <is>
          <t>☐ Not Started</t>
        </is>
      </c>
      <c r="G460" s="10">
        <f>IF(F460="☑ Completed", "COMPLETED", "NOT STARTED")</f>
        <v/>
      </c>
      <c r="H460" s="10" t="inlineStr">
        <is>
          <t>Day 95</t>
        </is>
      </c>
      <c r="I460" s="10" t="inlineStr">
        <is>
          <t>☐ Not Started</t>
        </is>
      </c>
      <c r="J460" s="10" t="inlineStr">
        <is>
          <t>Day 99</t>
        </is>
      </c>
      <c r="K460" s="10" t="inlineStr">
        <is>
          <t>☐ Not Started</t>
        </is>
      </c>
      <c r="L460" s="10" t="inlineStr"/>
    </row>
    <row r="461">
      <c r="A461" s="9" t="inlineStr">
        <is>
          <t>Project</t>
        </is>
      </c>
      <c r="B461" s="9" t="inlineStr">
        <is>
          <t>Resume Analyzer</t>
        </is>
      </c>
      <c r="C461" s="9" t="inlineStr">
        <is>
          <t>LLM integration</t>
        </is>
      </c>
      <c r="D461" s="10" t="inlineStr">
        <is>
          <t>Day 92</t>
        </is>
      </c>
      <c r="E461" s="10" t="inlineStr">
        <is>
          <t>30 min</t>
        </is>
      </c>
      <c r="F461" s="10" t="inlineStr">
        <is>
          <t>☐ Not Started</t>
        </is>
      </c>
      <c r="G461" s="10">
        <f>IF(F461="☑ Completed", "COMPLETED", "NOT STARTED")</f>
        <v/>
      </c>
      <c r="H461" s="10" t="inlineStr">
        <is>
          <t>Day 95</t>
        </is>
      </c>
      <c r="I461" s="10" t="inlineStr">
        <is>
          <t>☐ Not Started</t>
        </is>
      </c>
      <c r="J461" s="10" t="inlineStr">
        <is>
          <t>Day 99</t>
        </is>
      </c>
      <c r="K461" s="10" t="inlineStr">
        <is>
          <t>☐ Not Started</t>
        </is>
      </c>
      <c r="L461" s="10" t="inlineStr"/>
    </row>
    <row r="462">
      <c r="A462" s="9" t="inlineStr">
        <is>
          <t>Project</t>
        </is>
      </c>
      <c r="B462" s="9" t="inlineStr">
        <is>
          <t>Resume Analyzer</t>
        </is>
      </c>
      <c r="C462" s="9" t="inlineStr">
        <is>
          <t>Prompt engineering</t>
        </is>
      </c>
      <c r="D462" s="10" t="inlineStr">
        <is>
          <t>Day 93</t>
        </is>
      </c>
      <c r="E462" s="10" t="inlineStr">
        <is>
          <t>45 min</t>
        </is>
      </c>
      <c r="F462" s="10" t="inlineStr">
        <is>
          <t>☐ Not Started</t>
        </is>
      </c>
      <c r="G462" s="10">
        <f>IF(F462="☑ Completed", "COMPLETED", "NOT STARTED")</f>
        <v/>
      </c>
      <c r="H462" s="10" t="inlineStr">
        <is>
          <t>Day 96</t>
        </is>
      </c>
      <c r="I462" s="10" t="inlineStr">
        <is>
          <t>☐ Not Started</t>
        </is>
      </c>
      <c r="J462" s="10" t="inlineStr">
        <is>
          <t>Day 100</t>
        </is>
      </c>
      <c r="K462" s="10" t="inlineStr">
        <is>
          <t>☐ Not Started</t>
        </is>
      </c>
      <c r="L462" s="10" t="inlineStr"/>
    </row>
    <row r="463">
      <c r="A463" s="9" t="inlineStr">
        <is>
          <t>Project</t>
        </is>
      </c>
      <c r="B463" s="9" t="inlineStr">
        <is>
          <t>Resume Analyzer</t>
        </is>
      </c>
      <c r="C463" s="9" t="inlineStr">
        <is>
          <t>Structured output</t>
        </is>
      </c>
      <c r="D463" s="10" t="inlineStr">
        <is>
          <t>Day 93</t>
        </is>
      </c>
      <c r="E463" s="10" t="inlineStr">
        <is>
          <t>30 min</t>
        </is>
      </c>
      <c r="F463" s="10" t="inlineStr">
        <is>
          <t>☐ Not Started</t>
        </is>
      </c>
      <c r="G463" s="10">
        <f>IF(F463="☑ Completed", "COMPLETED", "NOT STARTED")</f>
        <v/>
      </c>
      <c r="H463" s="10" t="inlineStr">
        <is>
          <t>Day 96</t>
        </is>
      </c>
      <c r="I463" s="10" t="inlineStr">
        <is>
          <t>☐ Not Started</t>
        </is>
      </c>
      <c r="J463" s="10" t="inlineStr">
        <is>
          <t>Day 100</t>
        </is>
      </c>
      <c r="K463" s="10" t="inlineStr">
        <is>
          <t>☐ Not Started</t>
        </is>
      </c>
      <c r="L463" s="10" t="inlineStr"/>
    </row>
    <row r="464">
      <c r="A464" s="9" t="inlineStr">
        <is>
          <t>Project</t>
        </is>
      </c>
      <c r="B464" s="9" t="inlineStr">
        <is>
          <t>Resume Analyzer</t>
        </is>
      </c>
      <c r="C464" s="9" t="inlineStr">
        <is>
          <t>Skill extraction</t>
        </is>
      </c>
      <c r="D464" s="10" t="inlineStr">
        <is>
          <t>Day 93</t>
        </is>
      </c>
      <c r="E464" s="10" t="inlineStr">
        <is>
          <t>30 min</t>
        </is>
      </c>
      <c r="F464" s="10" t="inlineStr">
        <is>
          <t>☐ Not Started</t>
        </is>
      </c>
      <c r="G464" s="10">
        <f>IF(F464="☑ Completed", "COMPLETED", "NOT STARTED")</f>
        <v/>
      </c>
      <c r="H464" s="10" t="inlineStr">
        <is>
          <t>Day 96</t>
        </is>
      </c>
      <c r="I464" s="10" t="inlineStr">
        <is>
          <t>☐ Not Started</t>
        </is>
      </c>
      <c r="J464" s="10" t="inlineStr">
        <is>
          <t>Day 100</t>
        </is>
      </c>
      <c r="K464" s="10" t="inlineStr">
        <is>
          <t>☐ Not Started</t>
        </is>
      </c>
      <c r="L464" s="10" t="inlineStr"/>
    </row>
    <row r="465">
      <c r="A465" s="9" t="inlineStr">
        <is>
          <t>Project</t>
        </is>
      </c>
      <c r="B465" s="9" t="inlineStr">
        <is>
          <t>Resume Analyzer</t>
        </is>
      </c>
      <c r="C465" s="9" t="inlineStr">
        <is>
          <t>Experience extraction</t>
        </is>
      </c>
      <c r="D465" s="10" t="inlineStr">
        <is>
          <t>Day 93</t>
        </is>
      </c>
      <c r="E465" s="10" t="inlineStr">
        <is>
          <t>30 min</t>
        </is>
      </c>
      <c r="F465" s="10" t="inlineStr">
        <is>
          <t>☐ Not Started</t>
        </is>
      </c>
      <c r="G465" s="10">
        <f>IF(F465="☑ Completed", "COMPLETED", "NOT STARTED")</f>
        <v/>
      </c>
      <c r="H465" s="10" t="inlineStr">
        <is>
          <t>Day 96</t>
        </is>
      </c>
      <c r="I465" s="10" t="inlineStr">
        <is>
          <t>☐ Not Started</t>
        </is>
      </c>
      <c r="J465" s="10" t="inlineStr">
        <is>
          <t>Day 100</t>
        </is>
      </c>
      <c r="K465" s="10" t="inlineStr">
        <is>
          <t>☐ Not Started</t>
        </is>
      </c>
      <c r="L465" s="10" t="inlineStr"/>
    </row>
    <row r="466">
      <c r="A466" s="9" t="inlineStr">
        <is>
          <t>Project</t>
        </is>
      </c>
      <c r="B466" s="9" t="inlineStr">
        <is>
          <t>Resume Analyzer</t>
        </is>
      </c>
      <c r="C466" s="9" t="inlineStr">
        <is>
          <t>Education extraction</t>
        </is>
      </c>
      <c r="D466" s="10" t="inlineStr">
        <is>
          <t>Day 93</t>
        </is>
      </c>
      <c r="E466" s="10" t="inlineStr">
        <is>
          <t>30 min</t>
        </is>
      </c>
      <c r="F466" s="10" t="inlineStr">
        <is>
          <t>☐ Not Started</t>
        </is>
      </c>
      <c r="G466" s="10">
        <f>IF(F466="☑ Completed", "COMPLETED", "NOT STARTED")</f>
        <v/>
      </c>
      <c r="H466" s="10" t="inlineStr">
        <is>
          <t>Day 96</t>
        </is>
      </c>
      <c r="I466" s="10" t="inlineStr">
        <is>
          <t>☐ Not Started</t>
        </is>
      </c>
      <c r="J466" s="10" t="inlineStr">
        <is>
          <t>Day 100</t>
        </is>
      </c>
      <c r="K466" s="10" t="inlineStr">
        <is>
          <t>☐ Not Started</t>
        </is>
      </c>
      <c r="L466" s="10" t="inlineStr"/>
    </row>
    <row r="467">
      <c r="A467" s="9" t="inlineStr">
        <is>
          <t>Project</t>
        </is>
      </c>
      <c r="B467" s="9" t="inlineStr">
        <is>
          <t>Resume Analyzer</t>
        </is>
      </c>
      <c r="C467" s="9" t="inlineStr">
        <is>
          <t>Job description input</t>
        </is>
      </c>
      <c r="D467" s="10" t="inlineStr">
        <is>
          <t>Day 94</t>
        </is>
      </c>
      <c r="E467" s="10" t="inlineStr">
        <is>
          <t>45 min</t>
        </is>
      </c>
      <c r="F467" s="10" t="inlineStr">
        <is>
          <t>☐ Not Started</t>
        </is>
      </c>
      <c r="G467" s="10">
        <f>IF(F467="☑ Completed", "COMPLETED", "NOT STARTED")</f>
        <v/>
      </c>
      <c r="H467" s="10" t="inlineStr">
        <is>
          <t>Day 97</t>
        </is>
      </c>
      <c r="I467" s="10" t="inlineStr">
        <is>
          <t>☐ Not Started</t>
        </is>
      </c>
      <c r="J467" s="10" t="inlineStr">
        <is>
          <t>Day 101</t>
        </is>
      </c>
      <c r="K467" s="10" t="inlineStr">
        <is>
          <t>☐ Not Started</t>
        </is>
      </c>
      <c r="L467" s="10" t="inlineStr"/>
    </row>
    <row r="468">
      <c r="A468" s="9" t="inlineStr">
        <is>
          <t>Project</t>
        </is>
      </c>
      <c r="B468" s="9" t="inlineStr">
        <is>
          <t>Resume Analyzer</t>
        </is>
      </c>
      <c r="C468" s="9" t="inlineStr">
        <is>
          <t>JD parsing</t>
        </is>
      </c>
      <c r="D468" s="10" t="inlineStr">
        <is>
          <t>Day 94</t>
        </is>
      </c>
      <c r="E468" s="10" t="inlineStr">
        <is>
          <t>30 min</t>
        </is>
      </c>
      <c r="F468" s="10" t="inlineStr">
        <is>
          <t>☐ Not Started</t>
        </is>
      </c>
      <c r="G468" s="10">
        <f>IF(F468="☑ Completed", "COMPLETED", "NOT STARTED")</f>
        <v/>
      </c>
      <c r="H468" s="10" t="inlineStr">
        <is>
          <t>Day 97</t>
        </is>
      </c>
      <c r="I468" s="10" t="inlineStr">
        <is>
          <t>☐ Not Started</t>
        </is>
      </c>
      <c r="J468" s="10" t="inlineStr">
        <is>
          <t>Day 101</t>
        </is>
      </c>
      <c r="K468" s="10" t="inlineStr">
        <is>
          <t>☐ Not Started</t>
        </is>
      </c>
      <c r="L468" s="10" t="inlineStr"/>
    </row>
    <row r="469">
      <c r="A469" s="9" t="inlineStr">
        <is>
          <t>Project</t>
        </is>
      </c>
      <c r="B469" s="9" t="inlineStr">
        <is>
          <t>Resume Analyzer</t>
        </is>
      </c>
      <c r="C469" s="9" t="inlineStr">
        <is>
          <t>Skill matching</t>
        </is>
      </c>
      <c r="D469" s="10" t="inlineStr">
        <is>
          <t>Day 94</t>
        </is>
      </c>
      <c r="E469" s="10" t="inlineStr">
        <is>
          <t>30 min</t>
        </is>
      </c>
      <c r="F469" s="10" t="inlineStr">
        <is>
          <t>☐ Not Started</t>
        </is>
      </c>
      <c r="G469" s="10">
        <f>IF(F469="☑ Completed", "COMPLETED", "NOT STARTED")</f>
        <v/>
      </c>
      <c r="H469" s="10" t="inlineStr">
        <is>
          <t>Day 97</t>
        </is>
      </c>
      <c r="I469" s="10" t="inlineStr">
        <is>
          <t>☐ Not Started</t>
        </is>
      </c>
      <c r="J469" s="10" t="inlineStr">
        <is>
          <t>Day 101</t>
        </is>
      </c>
      <c r="K469" s="10" t="inlineStr">
        <is>
          <t>☐ Not Started</t>
        </is>
      </c>
      <c r="L469" s="10" t="inlineStr"/>
    </row>
    <row r="470">
      <c r="A470" s="9" t="inlineStr">
        <is>
          <t>Project</t>
        </is>
      </c>
      <c r="B470" s="9" t="inlineStr">
        <is>
          <t>Resume Analyzer</t>
        </is>
      </c>
      <c r="C470" s="9" t="inlineStr">
        <is>
          <t>Match score</t>
        </is>
      </c>
      <c r="D470" s="10" t="inlineStr">
        <is>
          <t>Day 94</t>
        </is>
      </c>
      <c r="E470" s="10" t="inlineStr">
        <is>
          <t>30 min</t>
        </is>
      </c>
      <c r="F470" s="10" t="inlineStr">
        <is>
          <t>☐ Not Started</t>
        </is>
      </c>
      <c r="G470" s="10">
        <f>IF(F470="☑ Completed", "COMPLETED", "NOT STARTED")</f>
        <v/>
      </c>
      <c r="H470" s="10" t="inlineStr">
        <is>
          <t>Day 97</t>
        </is>
      </c>
      <c r="I470" s="10" t="inlineStr">
        <is>
          <t>☐ Not Started</t>
        </is>
      </c>
      <c r="J470" s="10" t="inlineStr">
        <is>
          <t>Day 101</t>
        </is>
      </c>
      <c r="K470" s="10" t="inlineStr">
        <is>
          <t>☐ Not Started</t>
        </is>
      </c>
      <c r="L470" s="10" t="inlineStr"/>
    </row>
    <row r="471">
      <c r="A471" s="9" t="inlineStr">
        <is>
          <t>Project</t>
        </is>
      </c>
      <c r="B471" s="9" t="inlineStr">
        <is>
          <t>Resume Analyzer</t>
        </is>
      </c>
      <c r="C471" s="9" t="inlineStr">
        <is>
          <t>Missing skills</t>
        </is>
      </c>
      <c r="D471" s="10" t="inlineStr">
        <is>
          <t>Day 94</t>
        </is>
      </c>
      <c r="E471" s="10" t="inlineStr">
        <is>
          <t>30 min</t>
        </is>
      </c>
      <c r="F471" s="10" t="inlineStr">
        <is>
          <t>☐ Not Started</t>
        </is>
      </c>
      <c r="G471" s="10">
        <f>IF(F471="☑ Completed", "COMPLETED", "NOT STARTED")</f>
        <v/>
      </c>
      <c r="H471" s="10" t="inlineStr">
        <is>
          <t>Day 97</t>
        </is>
      </c>
      <c r="I471" s="10" t="inlineStr">
        <is>
          <t>☐ Not Started</t>
        </is>
      </c>
      <c r="J471" s="10" t="inlineStr">
        <is>
          <t>Day 101</t>
        </is>
      </c>
      <c r="K471" s="10" t="inlineStr">
        <is>
          <t>☐ Not Started</t>
        </is>
      </c>
      <c r="L471" s="10" t="inlineStr"/>
    </row>
    <row r="472">
      <c r="A472" s="9" t="inlineStr">
        <is>
          <t>Project</t>
        </is>
      </c>
      <c r="B472" s="9" t="inlineStr">
        <is>
          <t>Resume Analyzer</t>
        </is>
      </c>
      <c r="C472" s="9" t="inlineStr">
        <is>
          <t>Suggestions</t>
        </is>
      </c>
      <c r="D472" s="10" t="inlineStr">
        <is>
          <t>Day 95</t>
        </is>
      </c>
      <c r="E472" s="10" t="inlineStr">
        <is>
          <t>45 min</t>
        </is>
      </c>
      <c r="F472" s="10" t="inlineStr">
        <is>
          <t>☐ Not Started</t>
        </is>
      </c>
      <c r="G472" s="10">
        <f>IF(F472="☑ Completed", "COMPLETED", "NOT STARTED")</f>
        <v/>
      </c>
      <c r="H472" s="10" t="inlineStr">
        <is>
          <t>Day 98</t>
        </is>
      </c>
      <c r="I472" s="10" t="inlineStr">
        <is>
          <t>☐ Not Started</t>
        </is>
      </c>
      <c r="J472" s="10" t="inlineStr">
        <is>
          <t>Day 102</t>
        </is>
      </c>
      <c r="K472" s="10" t="inlineStr">
        <is>
          <t>☐ Not Started</t>
        </is>
      </c>
      <c r="L472" s="10" t="inlineStr"/>
    </row>
    <row r="473">
      <c r="A473" s="9" t="inlineStr">
        <is>
          <t>Project</t>
        </is>
      </c>
      <c r="B473" s="9" t="inlineStr">
        <is>
          <t>Resume Analyzer</t>
        </is>
      </c>
      <c r="C473" s="9" t="inlineStr">
        <is>
          <t>UI</t>
        </is>
      </c>
      <c r="D473" s="10" t="inlineStr">
        <is>
          <t>Day 95</t>
        </is>
      </c>
      <c r="E473" s="10" t="inlineStr">
        <is>
          <t>30 min</t>
        </is>
      </c>
      <c r="F473" s="10" t="inlineStr">
        <is>
          <t>☐ Not Started</t>
        </is>
      </c>
      <c r="G473" s="10">
        <f>IF(F473="☑ Completed", "COMPLETED", "NOT STARTED")</f>
        <v/>
      </c>
      <c r="H473" s="10" t="inlineStr">
        <is>
          <t>Day 98</t>
        </is>
      </c>
      <c r="I473" s="10" t="inlineStr">
        <is>
          <t>☐ Not Started</t>
        </is>
      </c>
      <c r="J473" s="10" t="inlineStr">
        <is>
          <t>Day 102</t>
        </is>
      </c>
      <c r="K473" s="10" t="inlineStr">
        <is>
          <t>☐ Not Started</t>
        </is>
      </c>
      <c r="L473" s="10" t="inlineStr"/>
    </row>
    <row r="474">
      <c r="A474" s="9" t="inlineStr">
        <is>
          <t>Project</t>
        </is>
      </c>
      <c r="B474" s="9" t="inlineStr">
        <is>
          <t>Resume Analyzer</t>
        </is>
      </c>
      <c r="C474" s="9" t="inlineStr">
        <is>
          <t>Testing</t>
        </is>
      </c>
      <c r="D474" s="10" t="inlineStr">
        <is>
          <t>Day 95</t>
        </is>
      </c>
      <c r="E474" s="10" t="inlineStr">
        <is>
          <t>30 min</t>
        </is>
      </c>
      <c r="F474" s="10" t="inlineStr">
        <is>
          <t>☐ Not Started</t>
        </is>
      </c>
      <c r="G474" s="10">
        <f>IF(F474="☑ Completed", "COMPLETED", "NOT STARTED")</f>
        <v/>
      </c>
      <c r="H474" s="10" t="inlineStr">
        <is>
          <t>Day 98</t>
        </is>
      </c>
      <c r="I474" s="10" t="inlineStr">
        <is>
          <t>☐ Not Started</t>
        </is>
      </c>
      <c r="J474" s="10" t="inlineStr">
        <is>
          <t>Day 102</t>
        </is>
      </c>
      <c r="K474" s="10" t="inlineStr">
        <is>
          <t>☐ Not Started</t>
        </is>
      </c>
      <c r="L474" s="10" t="inlineStr"/>
    </row>
    <row r="475">
      <c r="A475" s="9" t="inlineStr">
        <is>
          <t>Project</t>
        </is>
      </c>
      <c r="B475" s="9" t="inlineStr">
        <is>
          <t>Resume Analyzer</t>
        </is>
      </c>
      <c r="C475" s="9" t="inlineStr">
        <is>
          <t>Error handling</t>
        </is>
      </c>
      <c r="D475" s="10" t="inlineStr">
        <is>
          <t>Day 95</t>
        </is>
      </c>
      <c r="E475" s="10" t="inlineStr">
        <is>
          <t>30 min</t>
        </is>
      </c>
      <c r="F475" s="10" t="inlineStr">
        <is>
          <t>☐ Not Started</t>
        </is>
      </c>
      <c r="G475" s="10">
        <f>IF(F475="☑ Completed", "COMPLETED", "NOT STARTED")</f>
        <v/>
      </c>
      <c r="H475" s="10" t="inlineStr">
        <is>
          <t>Day 98</t>
        </is>
      </c>
      <c r="I475" s="10" t="inlineStr">
        <is>
          <t>☐ Not Started</t>
        </is>
      </c>
      <c r="J475" s="10" t="inlineStr">
        <is>
          <t>Day 102</t>
        </is>
      </c>
      <c r="K475" s="10" t="inlineStr">
        <is>
          <t>☐ Not Started</t>
        </is>
      </c>
      <c r="L475" s="10" t="inlineStr"/>
    </row>
    <row r="476">
      <c r="A476" s="9" t="inlineStr">
        <is>
          <t>Project</t>
        </is>
      </c>
      <c r="B476" s="9" t="inlineStr">
        <is>
          <t>Resume Analyzer</t>
        </is>
      </c>
      <c r="C476" s="9" t="inlineStr">
        <is>
          <t>GitHub</t>
        </is>
      </c>
      <c r="D476" s="10" t="inlineStr">
        <is>
          <t>Day 95</t>
        </is>
      </c>
      <c r="E476" s="10" t="inlineStr">
        <is>
          <t>30 min</t>
        </is>
      </c>
      <c r="F476" s="10" t="inlineStr">
        <is>
          <t>☐ Not Started</t>
        </is>
      </c>
      <c r="G476" s="10">
        <f>IF(F476="☑ Completed", "COMPLETED", "NOT STARTED")</f>
        <v/>
      </c>
      <c r="H476" s="10" t="inlineStr">
        <is>
          <t>Day 98</t>
        </is>
      </c>
      <c r="I476" s="10" t="inlineStr">
        <is>
          <t>☐ Not Started</t>
        </is>
      </c>
      <c r="J476" s="10" t="inlineStr">
        <is>
          <t>Day 102</t>
        </is>
      </c>
      <c r="K476" s="10" t="inlineStr">
        <is>
          <t>☐ Not Started</t>
        </is>
      </c>
      <c r="L476" s="10" t="inlineStr"/>
    </row>
    <row r="477">
      <c r="A477" s="9" t="inlineStr">
        <is>
          <t>Project</t>
        </is>
      </c>
      <c r="B477" s="9" t="inlineStr">
        <is>
          <t>Resume Analyzer</t>
        </is>
      </c>
      <c r="C477" s="9" t="inlineStr">
        <is>
          <t>README</t>
        </is>
      </c>
      <c r="D477" s="10" t="inlineStr">
        <is>
          <t>Day 96</t>
        </is>
      </c>
      <c r="E477" s="10" t="inlineStr">
        <is>
          <t>45 min</t>
        </is>
      </c>
      <c r="F477" s="10" t="inlineStr">
        <is>
          <t>☐ Not Started</t>
        </is>
      </c>
      <c r="G477" s="10">
        <f>IF(F477="☑ Completed", "COMPLETED", "NOT STARTED")</f>
        <v/>
      </c>
      <c r="H477" s="10" t="inlineStr">
        <is>
          <t>Day 99</t>
        </is>
      </c>
      <c r="I477" s="10" t="inlineStr">
        <is>
          <t>☐ Not Started</t>
        </is>
      </c>
      <c r="J477" s="10" t="inlineStr">
        <is>
          <t>Day 103</t>
        </is>
      </c>
      <c r="K477" s="10" t="inlineStr">
        <is>
          <t>☐ Not Started</t>
        </is>
      </c>
      <c r="L477" s="10" t="inlineStr"/>
    </row>
    <row r="478">
      <c r="A478" s="9" t="inlineStr">
        <is>
          <t>Project</t>
        </is>
      </c>
      <c r="B478" s="9" t="inlineStr">
        <is>
          <t>Resume Analyzer</t>
        </is>
      </c>
      <c r="C478" s="9" t="inlineStr">
        <is>
          <t>Deployment</t>
        </is>
      </c>
      <c r="D478" s="10" t="inlineStr">
        <is>
          <t>Day 96</t>
        </is>
      </c>
      <c r="E478" s="10" t="inlineStr">
        <is>
          <t>30 min</t>
        </is>
      </c>
      <c r="F478" s="10" t="inlineStr">
        <is>
          <t>☐ Not Started</t>
        </is>
      </c>
      <c r="G478" s="10">
        <f>IF(F478="☑ Completed", "COMPLETED", "NOT STARTED")</f>
        <v/>
      </c>
      <c r="H478" s="10" t="inlineStr">
        <is>
          <t>Day 99</t>
        </is>
      </c>
      <c r="I478" s="10" t="inlineStr">
        <is>
          <t>☐ Not Started</t>
        </is>
      </c>
      <c r="J478" s="10" t="inlineStr">
        <is>
          <t>Day 103</t>
        </is>
      </c>
      <c r="K478" s="10" t="inlineStr">
        <is>
          <t>☐ Not Started</t>
        </is>
      </c>
      <c r="L478" s="10" t="inlineStr"/>
    </row>
    <row r="479">
      <c r="A479" s="9" t="inlineStr">
        <is>
          <t>Project</t>
        </is>
      </c>
      <c r="B479" s="9" t="inlineStr">
        <is>
          <t>Resume Analyzer</t>
        </is>
      </c>
      <c r="C479" s="9" t="inlineStr">
        <is>
          <t>Interview explanation</t>
        </is>
      </c>
      <c r="D479" s="10" t="inlineStr">
        <is>
          <t>Day 96</t>
        </is>
      </c>
      <c r="E479" s="10" t="inlineStr">
        <is>
          <t>30 min</t>
        </is>
      </c>
      <c r="F479" s="10" t="inlineStr">
        <is>
          <t>☐ Not Started</t>
        </is>
      </c>
      <c r="G479" s="10">
        <f>IF(F479="☑ Completed", "COMPLETED", "NOT STARTED")</f>
        <v/>
      </c>
      <c r="H479" s="10" t="inlineStr">
        <is>
          <t>Day 99</t>
        </is>
      </c>
      <c r="I479" s="10" t="inlineStr">
        <is>
          <t>☐ Not Started</t>
        </is>
      </c>
      <c r="J479" s="10" t="inlineStr">
        <is>
          <t>Day 103</t>
        </is>
      </c>
      <c r="K479" s="10" t="inlineStr">
        <is>
          <t>☐ Not Started</t>
        </is>
      </c>
      <c r="L479" s="10" t="inlineStr"/>
    </row>
    <row r="480">
      <c r="A480" s="9" t="inlineStr">
        <is>
          <t>DSA</t>
        </is>
      </c>
      <c r="B480" s="9" t="inlineStr">
        <is>
          <t>Basics</t>
        </is>
      </c>
      <c r="C480" s="9" t="inlineStr">
        <is>
          <t>Arrays</t>
        </is>
      </c>
      <c r="D480" s="10" t="inlineStr">
        <is>
          <t>Day 96</t>
        </is>
      </c>
      <c r="E480" s="10" t="inlineStr">
        <is>
          <t>30 min</t>
        </is>
      </c>
      <c r="F480" s="10" t="inlineStr">
        <is>
          <t>☐ Not Started</t>
        </is>
      </c>
      <c r="G480" s="10">
        <f>IF(F480="☑ Completed", "COMPLETED", "NOT STARTED")</f>
        <v/>
      </c>
      <c r="H480" s="10" t="inlineStr">
        <is>
          <t>Day 99</t>
        </is>
      </c>
      <c r="I480" s="10" t="inlineStr">
        <is>
          <t>☐ Not Started</t>
        </is>
      </c>
      <c r="J480" s="10" t="inlineStr">
        <is>
          <t>Day 103</t>
        </is>
      </c>
      <c r="K480" s="10" t="inlineStr">
        <is>
          <t>☐ Not Started</t>
        </is>
      </c>
      <c r="L480" s="10" t="inlineStr"/>
    </row>
    <row r="481">
      <c r="A481" s="9" t="inlineStr">
        <is>
          <t>DSA</t>
        </is>
      </c>
      <c r="B481" s="9" t="inlineStr">
        <is>
          <t>Basics</t>
        </is>
      </c>
      <c r="C481" s="9" t="inlineStr">
        <is>
          <t>Strings</t>
        </is>
      </c>
      <c r="D481" s="10" t="inlineStr">
        <is>
          <t>Day 96</t>
        </is>
      </c>
      <c r="E481" s="10" t="inlineStr">
        <is>
          <t>30 min</t>
        </is>
      </c>
      <c r="F481" s="10" t="inlineStr">
        <is>
          <t>☐ Not Started</t>
        </is>
      </c>
      <c r="G481" s="10">
        <f>IF(F481="☑ Completed", "COMPLETED", "NOT STARTED")</f>
        <v/>
      </c>
      <c r="H481" s="10" t="inlineStr">
        <is>
          <t>Day 99</t>
        </is>
      </c>
      <c r="I481" s="10" t="inlineStr">
        <is>
          <t>☐ Not Started</t>
        </is>
      </c>
      <c r="J481" s="10" t="inlineStr">
        <is>
          <t>Day 103</t>
        </is>
      </c>
      <c r="K481" s="10" t="inlineStr">
        <is>
          <t>☐ Not Started</t>
        </is>
      </c>
      <c r="L481" s="10" t="inlineStr"/>
    </row>
    <row r="482">
      <c r="A482" s="9" t="inlineStr">
        <is>
          <t>DSA</t>
        </is>
      </c>
      <c r="B482" s="9" t="inlineStr">
        <is>
          <t>Basics</t>
        </is>
      </c>
      <c r="C482" s="9" t="inlineStr">
        <is>
          <t>Hashing</t>
        </is>
      </c>
      <c r="D482" s="10" t="inlineStr">
        <is>
          <t>Day 97</t>
        </is>
      </c>
      <c r="E482" s="10" t="inlineStr">
        <is>
          <t>45 min</t>
        </is>
      </c>
      <c r="F482" s="10" t="inlineStr">
        <is>
          <t>☐ Not Started</t>
        </is>
      </c>
      <c r="G482" s="10">
        <f>IF(F482="☑ Completed", "COMPLETED", "NOT STARTED")</f>
        <v/>
      </c>
      <c r="H482" s="10" t="inlineStr">
        <is>
          <t>Day 100</t>
        </is>
      </c>
      <c r="I482" s="10" t="inlineStr">
        <is>
          <t>☐ Not Started</t>
        </is>
      </c>
      <c r="J482" s="10" t="inlineStr">
        <is>
          <t>Day 104</t>
        </is>
      </c>
      <c r="K482" s="10" t="inlineStr">
        <is>
          <t>☐ Not Started</t>
        </is>
      </c>
      <c r="L482" s="10" t="inlineStr"/>
    </row>
    <row r="483">
      <c r="A483" s="9" t="inlineStr">
        <is>
          <t>DSA</t>
        </is>
      </c>
      <c r="B483" s="9" t="inlineStr">
        <is>
          <t>Basics</t>
        </is>
      </c>
      <c r="C483" s="9" t="inlineStr">
        <is>
          <t>Dictionary</t>
        </is>
      </c>
      <c r="D483" s="10" t="inlineStr">
        <is>
          <t>Day 97</t>
        </is>
      </c>
      <c r="E483" s="10" t="inlineStr">
        <is>
          <t>30 min</t>
        </is>
      </c>
      <c r="F483" s="10" t="inlineStr">
        <is>
          <t>☐ Not Started</t>
        </is>
      </c>
      <c r="G483" s="10">
        <f>IF(F483="☑ Completed", "COMPLETED", "NOT STARTED")</f>
        <v/>
      </c>
      <c r="H483" s="10" t="inlineStr">
        <is>
          <t>Day 100</t>
        </is>
      </c>
      <c r="I483" s="10" t="inlineStr">
        <is>
          <t>☐ Not Started</t>
        </is>
      </c>
      <c r="J483" s="10" t="inlineStr">
        <is>
          <t>Day 104</t>
        </is>
      </c>
      <c r="K483" s="10" t="inlineStr">
        <is>
          <t>☐ Not Started</t>
        </is>
      </c>
      <c r="L483" s="10" t="inlineStr"/>
    </row>
    <row r="484">
      <c r="A484" s="9" t="inlineStr">
        <is>
          <t>DSA</t>
        </is>
      </c>
      <c r="B484" s="9" t="inlineStr">
        <is>
          <t>Basics</t>
        </is>
      </c>
      <c r="C484" s="9" t="inlineStr">
        <is>
          <t>Set</t>
        </is>
      </c>
      <c r="D484" s="10" t="inlineStr">
        <is>
          <t>Day 97</t>
        </is>
      </c>
      <c r="E484" s="10" t="inlineStr">
        <is>
          <t>30 min</t>
        </is>
      </c>
      <c r="F484" s="10" t="inlineStr">
        <is>
          <t>☐ Not Started</t>
        </is>
      </c>
      <c r="G484" s="10">
        <f>IF(F484="☑ Completed", "COMPLETED", "NOT STARTED")</f>
        <v/>
      </c>
      <c r="H484" s="10" t="inlineStr">
        <is>
          <t>Day 100</t>
        </is>
      </c>
      <c r="I484" s="10" t="inlineStr">
        <is>
          <t>☐ Not Started</t>
        </is>
      </c>
      <c r="J484" s="10" t="inlineStr">
        <is>
          <t>Day 104</t>
        </is>
      </c>
      <c r="K484" s="10" t="inlineStr">
        <is>
          <t>☐ Not Started</t>
        </is>
      </c>
      <c r="L484" s="10" t="inlineStr"/>
    </row>
    <row r="485">
      <c r="A485" s="9" t="inlineStr">
        <is>
          <t>DSA</t>
        </is>
      </c>
      <c r="B485" s="9" t="inlineStr">
        <is>
          <t>Basics</t>
        </is>
      </c>
      <c r="C485" s="9" t="inlineStr">
        <is>
          <t>Two pointers</t>
        </is>
      </c>
      <c r="D485" s="10" t="inlineStr">
        <is>
          <t>Day 97</t>
        </is>
      </c>
      <c r="E485" s="10" t="inlineStr">
        <is>
          <t>30 min</t>
        </is>
      </c>
      <c r="F485" s="10" t="inlineStr">
        <is>
          <t>☐ Not Started</t>
        </is>
      </c>
      <c r="G485" s="10">
        <f>IF(F485="☑ Completed", "COMPLETED", "NOT STARTED")</f>
        <v/>
      </c>
      <c r="H485" s="10" t="inlineStr">
        <is>
          <t>Day 100</t>
        </is>
      </c>
      <c r="I485" s="10" t="inlineStr">
        <is>
          <t>☐ Not Started</t>
        </is>
      </c>
      <c r="J485" s="10" t="inlineStr">
        <is>
          <t>Day 104</t>
        </is>
      </c>
      <c r="K485" s="10" t="inlineStr">
        <is>
          <t>☐ Not Started</t>
        </is>
      </c>
      <c r="L485" s="10" t="inlineStr"/>
    </row>
    <row r="486">
      <c r="A486" s="9" t="inlineStr">
        <is>
          <t>DSA</t>
        </is>
      </c>
      <c r="B486" s="9" t="inlineStr">
        <is>
          <t>Basics</t>
        </is>
      </c>
      <c r="C486" s="9" t="inlineStr">
        <is>
          <t>Sliding window</t>
        </is>
      </c>
      <c r="D486" s="10" t="inlineStr">
        <is>
          <t>Day 97</t>
        </is>
      </c>
      <c r="E486" s="10" t="inlineStr">
        <is>
          <t>30 min</t>
        </is>
      </c>
      <c r="F486" s="10" t="inlineStr">
        <is>
          <t>☐ Not Started</t>
        </is>
      </c>
      <c r="G486" s="10">
        <f>IF(F486="☑ Completed", "COMPLETED", "NOT STARTED")</f>
        <v/>
      </c>
      <c r="H486" s="10" t="inlineStr">
        <is>
          <t>Day 100</t>
        </is>
      </c>
      <c r="I486" s="10" t="inlineStr">
        <is>
          <t>☐ Not Started</t>
        </is>
      </c>
      <c r="J486" s="10" t="inlineStr">
        <is>
          <t>Day 104</t>
        </is>
      </c>
      <c r="K486" s="10" t="inlineStr">
        <is>
          <t>☐ Not Started</t>
        </is>
      </c>
      <c r="L486" s="10" t="inlineStr"/>
    </row>
    <row r="487">
      <c r="A487" s="9" t="inlineStr">
        <is>
          <t>DSA</t>
        </is>
      </c>
      <c r="B487" s="9" t="inlineStr">
        <is>
          <t>Basics</t>
        </is>
      </c>
      <c r="C487" s="9" t="inlineStr">
        <is>
          <t>Stack</t>
        </is>
      </c>
      <c r="D487" s="10" t="inlineStr">
        <is>
          <t>Day 98</t>
        </is>
      </c>
      <c r="E487" s="10" t="inlineStr">
        <is>
          <t>45 min</t>
        </is>
      </c>
      <c r="F487" s="10" t="inlineStr">
        <is>
          <t>☐ Not Started</t>
        </is>
      </c>
      <c r="G487" s="10">
        <f>IF(F487="☑ Completed", "COMPLETED", "NOT STARTED")</f>
        <v/>
      </c>
      <c r="H487" s="10" t="inlineStr">
        <is>
          <t>Day 101</t>
        </is>
      </c>
      <c r="I487" s="10" t="inlineStr">
        <is>
          <t>☐ Not Started</t>
        </is>
      </c>
      <c r="J487" s="10" t="inlineStr">
        <is>
          <t>Day 105</t>
        </is>
      </c>
      <c r="K487" s="10" t="inlineStr">
        <is>
          <t>☐ Not Started</t>
        </is>
      </c>
      <c r="L487" s="10" t="inlineStr"/>
    </row>
    <row r="488">
      <c r="A488" s="9" t="inlineStr">
        <is>
          <t>DSA</t>
        </is>
      </c>
      <c r="B488" s="9" t="inlineStr">
        <is>
          <t>Basics</t>
        </is>
      </c>
      <c r="C488" s="9" t="inlineStr">
        <is>
          <t>Queue</t>
        </is>
      </c>
      <c r="D488" s="10" t="inlineStr">
        <is>
          <t>Day 98</t>
        </is>
      </c>
      <c r="E488" s="10" t="inlineStr">
        <is>
          <t>30 min</t>
        </is>
      </c>
      <c r="F488" s="10" t="inlineStr">
        <is>
          <t>☐ Not Started</t>
        </is>
      </c>
      <c r="G488" s="10">
        <f>IF(F488="☑ Completed", "COMPLETED", "NOT STARTED")</f>
        <v/>
      </c>
      <c r="H488" s="10" t="inlineStr">
        <is>
          <t>Day 101</t>
        </is>
      </c>
      <c r="I488" s="10" t="inlineStr">
        <is>
          <t>☐ Not Started</t>
        </is>
      </c>
      <c r="J488" s="10" t="inlineStr">
        <is>
          <t>Day 105</t>
        </is>
      </c>
      <c r="K488" s="10" t="inlineStr">
        <is>
          <t>☐ Not Started</t>
        </is>
      </c>
      <c r="L488" s="10" t="inlineStr"/>
    </row>
    <row r="489">
      <c r="A489" s="9" t="inlineStr">
        <is>
          <t>DSA</t>
        </is>
      </c>
      <c r="B489" s="9" t="inlineStr">
        <is>
          <t>Basics</t>
        </is>
      </c>
      <c r="C489" s="9" t="inlineStr">
        <is>
          <t>Linked list basics</t>
        </is>
      </c>
      <c r="D489" s="10" t="inlineStr">
        <is>
          <t>Day 98</t>
        </is>
      </c>
      <c r="E489" s="10" t="inlineStr">
        <is>
          <t>30 min</t>
        </is>
      </c>
      <c r="F489" s="10" t="inlineStr">
        <is>
          <t>☐ Not Started</t>
        </is>
      </c>
      <c r="G489" s="10">
        <f>IF(F489="☑ Completed", "COMPLETED", "NOT STARTED")</f>
        <v/>
      </c>
      <c r="H489" s="10" t="inlineStr">
        <is>
          <t>Day 101</t>
        </is>
      </c>
      <c r="I489" s="10" t="inlineStr">
        <is>
          <t>☐ Not Started</t>
        </is>
      </c>
      <c r="J489" s="10" t="inlineStr">
        <is>
          <t>Day 105</t>
        </is>
      </c>
      <c r="K489" s="10" t="inlineStr">
        <is>
          <t>☐ Not Started</t>
        </is>
      </c>
      <c r="L489" s="10" t="inlineStr"/>
    </row>
    <row r="490">
      <c r="A490" s="9" t="inlineStr">
        <is>
          <t>DSA</t>
        </is>
      </c>
      <c r="B490" s="9" t="inlineStr">
        <is>
          <t>Basics</t>
        </is>
      </c>
      <c r="C490" s="9" t="inlineStr">
        <is>
          <t>Binary search</t>
        </is>
      </c>
      <c r="D490" s="10" t="inlineStr">
        <is>
          <t>Day 98</t>
        </is>
      </c>
      <c r="E490" s="10" t="inlineStr">
        <is>
          <t>30 min</t>
        </is>
      </c>
      <c r="F490" s="10" t="inlineStr">
        <is>
          <t>☐ Not Started</t>
        </is>
      </c>
      <c r="G490" s="10">
        <f>IF(F490="☑ Completed", "COMPLETED", "NOT STARTED")</f>
        <v/>
      </c>
      <c r="H490" s="10" t="inlineStr">
        <is>
          <t>Day 101</t>
        </is>
      </c>
      <c r="I490" s="10" t="inlineStr">
        <is>
          <t>☐ Not Started</t>
        </is>
      </c>
      <c r="J490" s="10" t="inlineStr">
        <is>
          <t>Day 105</t>
        </is>
      </c>
      <c r="K490" s="10" t="inlineStr">
        <is>
          <t>☐ Not Started</t>
        </is>
      </c>
      <c r="L490" s="10" t="inlineStr"/>
    </row>
    <row r="491">
      <c r="A491" s="9" t="inlineStr">
        <is>
          <t>DSA</t>
        </is>
      </c>
      <c r="B491" s="9" t="inlineStr">
        <is>
          <t>Basics</t>
        </is>
      </c>
      <c r="C491" s="9" t="inlineStr">
        <is>
          <t>Sorting</t>
        </is>
      </c>
      <c r="D491" s="10" t="inlineStr">
        <is>
          <t>Day 98</t>
        </is>
      </c>
      <c r="E491" s="10" t="inlineStr">
        <is>
          <t>30 min</t>
        </is>
      </c>
      <c r="F491" s="10" t="inlineStr">
        <is>
          <t>☐ Not Started</t>
        </is>
      </c>
      <c r="G491" s="10">
        <f>IF(F491="☑ Completed", "COMPLETED", "NOT STARTED")</f>
        <v/>
      </c>
      <c r="H491" s="10" t="inlineStr">
        <is>
          <t>Day 101</t>
        </is>
      </c>
      <c r="I491" s="10" t="inlineStr">
        <is>
          <t>☐ Not Started</t>
        </is>
      </c>
      <c r="J491" s="10" t="inlineStr">
        <is>
          <t>Day 105</t>
        </is>
      </c>
      <c r="K491" s="10" t="inlineStr">
        <is>
          <t>☐ Not Started</t>
        </is>
      </c>
      <c r="L491" s="10" t="inlineStr"/>
    </row>
    <row r="492">
      <c r="A492" s="9" t="inlineStr">
        <is>
          <t>DSA</t>
        </is>
      </c>
      <c r="B492" s="9" t="inlineStr">
        <is>
          <t>Basics</t>
        </is>
      </c>
      <c r="C492" s="9" t="inlineStr">
        <is>
          <t>Recursion basics</t>
        </is>
      </c>
      <c r="D492" s="10" t="inlineStr">
        <is>
          <t>Day 99</t>
        </is>
      </c>
      <c r="E492" s="10" t="inlineStr">
        <is>
          <t>45 min</t>
        </is>
      </c>
      <c r="F492" s="10" t="inlineStr">
        <is>
          <t>☐ Not Started</t>
        </is>
      </c>
      <c r="G492" s="10">
        <f>IF(F492="☑ Completed", "COMPLETED", "NOT STARTED")</f>
        <v/>
      </c>
      <c r="H492" s="10" t="inlineStr">
        <is>
          <t>Day 102</t>
        </is>
      </c>
      <c r="I492" s="10" t="inlineStr">
        <is>
          <t>☐ Not Started</t>
        </is>
      </c>
      <c r="J492" s="10" t="inlineStr">
        <is>
          <t>Day 106</t>
        </is>
      </c>
      <c r="K492" s="10" t="inlineStr">
        <is>
          <t>☐ Not Started</t>
        </is>
      </c>
      <c r="L492" s="10" t="inlineStr"/>
    </row>
    <row r="493">
      <c r="A493" s="9" t="inlineStr">
        <is>
          <t>DSA</t>
        </is>
      </c>
      <c r="B493" s="9" t="inlineStr">
        <is>
          <t>Basics</t>
        </is>
      </c>
      <c r="C493" s="9" t="inlineStr">
        <is>
          <t>Trees basics</t>
        </is>
      </c>
      <c r="D493" s="10" t="inlineStr">
        <is>
          <t>Day 99</t>
        </is>
      </c>
      <c r="E493" s="10" t="inlineStr">
        <is>
          <t>30 min</t>
        </is>
      </c>
      <c r="F493" s="10" t="inlineStr">
        <is>
          <t>☐ Not Started</t>
        </is>
      </c>
      <c r="G493" s="10">
        <f>IF(F493="☑ Completed", "COMPLETED", "NOT STARTED")</f>
        <v/>
      </c>
      <c r="H493" s="10" t="inlineStr">
        <is>
          <t>Day 102</t>
        </is>
      </c>
      <c r="I493" s="10" t="inlineStr">
        <is>
          <t>☐ Not Started</t>
        </is>
      </c>
      <c r="J493" s="10" t="inlineStr">
        <is>
          <t>Day 106</t>
        </is>
      </c>
      <c r="K493" s="10" t="inlineStr">
        <is>
          <t>☐ Not Started</t>
        </is>
      </c>
      <c r="L493" s="10" t="inlineStr"/>
    </row>
    <row r="494">
      <c r="A494" s="9" t="inlineStr">
        <is>
          <t>DSA</t>
        </is>
      </c>
      <c r="B494" s="9" t="inlineStr">
        <is>
          <t>Basics</t>
        </is>
      </c>
      <c r="C494" s="9" t="inlineStr">
        <is>
          <t>Time complexity</t>
        </is>
      </c>
      <c r="D494" s="10" t="inlineStr">
        <is>
          <t>Day 99</t>
        </is>
      </c>
      <c r="E494" s="10" t="inlineStr">
        <is>
          <t>30 min</t>
        </is>
      </c>
      <c r="F494" s="10" t="inlineStr">
        <is>
          <t>☐ Not Started</t>
        </is>
      </c>
      <c r="G494" s="10">
        <f>IF(F494="☑ Completed", "COMPLETED", "NOT STARTED")</f>
        <v/>
      </c>
      <c r="H494" s="10" t="inlineStr">
        <is>
          <t>Day 102</t>
        </is>
      </c>
      <c r="I494" s="10" t="inlineStr">
        <is>
          <t>☐ Not Started</t>
        </is>
      </c>
      <c r="J494" s="10" t="inlineStr">
        <is>
          <t>Day 106</t>
        </is>
      </c>
      <c r="K494" s="10" t="inlineStr">
        <is>
          <t>☐ Not Started</t>
        </is>
      </c>
      <c r="L494" s="10" t="inlineStr"/>
    </row>
    <row r="495">
      <c r="A495" s="9" t="inlineStr">
        <is>
          <t>DSA</t>
        </is>
      </c>
      <c r="B495" s="9" t="inlineStr">
        <is>
          <t>Basics</t>
        </is>
      </c>
      <c r="C495" s="9" t="inlineStr">
        <is>
          <t>Space complexity</t>
        </is>
      </c>
      <c r="D495" s="10" t="inlineStr">
        <is>
          <t>Day 99</t>
        </is>
      </c>
      <c r="E495" s="10" t="inlineStr">
        <is>
          <t>30 min</t>
        </is>
      </c>
      <c r="F495" s="10" t="inlineStr">
        <is>
          <t>☐ Not Started</t>
        </is>
      </c>
      <c r="G495" s="10">
        <f>IF(F495="☑ Completed", "COMPLETED", "NOT STARTED")</f>
        <v/>
      </c>
      <c r="H495" s="10" t="inlineStr">
        <is>
          <t>Day 102</t>
        </is>
      </c>
      <c r="I495" s="10" t="inlineStr">
        <is>
          <t>☐ Not Started</t>
        </is>
      </c>
      <c r="J495" s="10" t="inlineStr">
        <is>
          <t>Day 106</t>
        </is>
      </c>
      <c r="K495" s="10" t="inlineStr">
        <is>
          <t>☐ Not Started</t>
        </is>
      </c>
      <c r="L495" s="10" t="inlineStr"/>
    </row>
    <row r="496">
      <c r="A496" s="9" t="inlineStr">
        <is>
          <t>Mock Interviews &amp; Revision</t>
        </is>
      </c>
      <c r="B496" s="9" t="inlineStr">
        <is>
          <t>Full AI/ML Revision</t>
        </is>
      </c>
      <c r="C496" s="9" t="inlineStr">
        <is>
          <t>Comprehensive Review Part 10</t>
        </is>
      </c>
      <c r="D496" s="10" t="inlineStr">
        <is>
          <t>Day 100</t>
        </is>
      </c>
      <c r="E496" s="10" t="inlineStr">
        <is>
          <t>45 min</t>
        </is>
      </c>
      <c r="F496" s="10" t="inlineStr">
        <is>
          <t>☐ Not Started</t>
        </is>
      </c>
      <c r="G496" s="10">
        <f>IF(F496="☑ Completed", "COMPLETED", "NOT STARTED")</f>
        <v/>
      </c>
      <c r="H496" s="10" t="inlineStr">
        <is>
          <t>Day 103</t>
        </is>
      </c>
      <c r="I496" s="10" t="inlineStr">
        <is>
          <t>☐ Not Started</t>
        </is>
      </c>
      <c r="J496" s="10" t="inlineStr">
        <is>
          <t>Day 107</t>
        </is>
      </c>
      <c r="K496" s="10" t="inlineStr">
        <is>
          <t>☐ Not Started</t>
        </is>
      </c>
      <c r="L496" s="10" t="inlineStr"/>
    </row>
    <row r="497">
      <c r="A497" s="9" t="inlineStr">
        <is>
          <t>Mock Interviews &amp; Revision</t>
        </is>
      </c>
      <c r="B497" s="9" t="inlineStr">
        <is>
          <t>Full AI/ML Revision</t>
        </is>
      </c>
      <c r="C497" s="9" t="inlineStr">
        <is>
          <t>Comprehensive Review Part 11</t>
        </is>
      </c>
      <c r="D497" s="10" t="inlineStr">
        <is>
          <t>Day 101</t>
        </is>
      </c>
      <c r="E497" s="10" t="inlineStr">
        <is>
          <t>45 min</t>
        </is>
      </c>
      <c r="F497" s="10" t="inlineStr">
        <is>
          <t>☐ Not Started</t>
        </is>
      </c>
      <c r="G497" s="10">
        <f>IF(F497="☑ Completed", "COMPLETED", "NOT STARTED")</f>
        <v/>
      </c>
      <c r="H497" s="10" t="inlineStr">
        <is>
          <t>Day 104</t>
        </is>
      </c>
      <c r="I497" s="10" t="inlineStr">
        <is>
          <t>☐ Not Started</t>
        </is>
      </c>
      <c r="J497" s="10" t="inlineStr">
        <is>
          <t>Day 108</t>
        </is>
      </c>
      <c r="K497" s="10" t="inlineStr">
        <is>
          <t>☐ Not Started</t>
        </is>
      </c>
      <c r="L497" s="10" t="inlineStr"/>
    </row>
    <row r="498">
      <c r="A498" s="9" t="inlineStr">
        <is>
          <t>Mock Interviews &amp; Revision</t>
        </is>
      </c>
      <c r="B498" s="9" t="inlineStr">
        <is>
          <t>Full AI/ML Revision</t>
        </is>
      </c>
      <c r="C498" s="9" t="inlineStr">
        <is>
          <t>Comprehensive Review Part 12</t>
        </is>
      </c>
      <c r="D498" s="10" t="inlineStr">
        <is>
          <t>Day 102</t>
        </is>
      </c>
      <c r="E498" s="10" t="inlineStr">
        <is>
          <t>45 min</t>
        </is>
      </c>
      <c r="F498" s="10" t="inlineStr">
        <is>
          <t>☐ Not Started</t>
        </is>
      </c>
      <c r="G498" s="10">
        <f>IF(F498="☑ Completed", "COMPLETED", "NOT STARTED")</f>
        <v/>
      </c>
      <c r="H498" s="10" t="inlineStr">
        <is>
          <t>Day 105</t>
        </is>
      </c>
      <c r="I498" s="10" t="inlineStr">
        <is>
          <t>☐ Not Started</t>
        </is>
      </c>
      <c r="J498" s="10" t="inlineStr">
        <is>
          <t>Day 109</t>
        </is>
      </c>
      <c r="K498" s="10" t="inlineStr">
        <is>
          <t>☐ Not Started</t>
        </is>
      </c>
      <c r="L498" s="10" t="inlineStr"/>
    </row>
    <row r="499">
      <c r="A499" s="9" t="inlineStr">
        <is>
          <t>Mock Interviews &amp; Revision</t>
        </is>
      </c>
      <c r="B499" s="9" t="inlineStr">
        <is>
          <t>Full AI/ML Revision</t>
        </is>
      </c>
      <c r="C499" s="9" t="inlineStr">
        <is>
          <t>Comprehensive Review Part 13</t>
        </is>
      </c>
      <c r="D499" s="10" t="inlineStr">
        <is>
          <t>Day 103</t>
        </is>
      </c>
      <c r="E499" s="10" t="inlineStr">
        <is>
          <t>45 min</t>
        </is>
      </c>
      <c r="F499" s="10" t="inlineStr">
        <is>
          <t>☐ Not Started</t>
        </is>
      </c>
      <c r="G499" s="10">
        <f>IF(F499="☑ Completed", "COMPLETED", "NOT STARTED")</f>
        <v/>
      </c>
      <c r="H499" s="10" t="inlineStr">
        <is>
          <t>Day 106</t>
        </is>
      </c>
      <c r="I499" s="10" t="inlineStr">
        <is>
          <t>☐ Not Started</t>
        </is>
      </c>
      <c r="J499" s="10" t="inlineStr">
        <is>
          <t>Day 110</t>
        </is>
      </c>
      <c r="K499" s="10" t="inlineStr">
        <is>
          <t>☐ Not Started</t>
        </is>
      </c>
      <c r="L499" s="10" t="inlineStr"/>
    </row>
    <row r="500">
      <c r="A500" s="9" t="inlineStr">
        <is>
          <t>Mock Interviews &amp; Revision</t>
        </is>
      </c>
      <c r="B500" s="9" t="inlineStr">
        <is>
          <t>Full AI/ML Revision</t>
        </is>
      </c>
      <c r="C500" s="9" t="inlineStr">
        <is>
          <t>Comprehensive Review Part 14</t>
        </is>
      </c>
      <c r="D500" s="10" t="inlineStr">
        <is>
          <t>Day 104</t>
        </is>
      </c>
      <c r="E500" s="10" t="inlineStr">
        <is>
          <t>45 min</t>
        </is>
      </c>
      <c r="F500" s="10" t="inlineStr">
        <is>
          <t>☐ Not Started</t>
        </is>
      </c>
      <c r="G500" s="10">
        <f>IF(F500="☑ Completed", "COMPLETED", "NOT STARTED")</f>
        <v/>
      </c>
      <c r="H500" s="10" t="inlineStr">
        <is>
          <t>Day 107</t>
        </is>
      </c>
      <c r="I500" s="10" t="inlineStr">
        <is>
          <t>☐ Not Started</t>
        </is>
      </c>
      <c r="J500" s="10" t="inlineStr">
        <is>
          <t>Day 111</t>
        </is>
      </c>
      <c r="K500" s="10" t="inlineStr">
        <is>
          <t>☐ Not Started</t>
        </is>
      </c>
      <c r="L500" s="10" t="inlineStr"/>
    </row>
    <row r="501">
      <c r="A501" s="9" t="inlineStr">
        <is>
          <t>Mock Interviews &amp; Revision</t>
        </is>
      </c>
      <c r="B501" s="9" t="inlineStr">
        <is>
          <t>Full AI/ML Revision</t>
        </is>
      </c>
      <c r="C501" s="9" t="inlineStr">
        <is>
          <t>Comprehensive Review Part 15</t>
        </is>
      </c>
      <c r="D501" s="10" t="inlineStr">
        <is>
          <t>Day 105</t>
        </is>
      </c>
      <c r="E501" s="10" t="inlineStr">
        <is>
          <t>45 min</t>
        </is>
      </c>
      <c r="F501" s="10" t="inlineStr">
        <is>
          <t>☐ Not Started</t>
        </is>
      </c>
      <c r="G501" s="10">
        <f>IF(F501="☑ Completed", "COMPLETED", "NOT STARTED")</f>
        <v/>
      </c>
      <c r="H501" s="10" t="inlineStr">
        <is>
          <t>Day 108</t>
        </is>
      </c>
      <c r="I501" s="10" t="inlineStr">
        <is>
          <t>☐ Not Started</t>
        </is>
      </c>
      <c r="J501" s="10" t="inlineStr">
        <is>
          <t>Day 112</t>
        </is>
      </c>
      <c r="K501" s="10" t="inlineStr">
        <is>
          <t>☐ Not Started</t>
        </is>
      </c>
      <c r="L501" s="10" t="inlineStr"/>
    </row>
    <row r="502">
      <c r="A502" s="9" t="inlineStr">
        <is>
          <t>Mock Interviews &amp; Revision</t>
        </is>
      </c>
      <c r="B502" s="9" t="inlineStr">
        <is>
          <t>Full AI/ML Revision</t>
        </is>
      </c>
      <c r="C502" s="9" t="inlineStr">
        <is>
          <t>Comprehensive Review Part 16</t>
        </is>
      </c>
      <c r="D502" s="10" t="inlineStr">
        <is>
          <t>Day 106</t>
        </is>
      </c>
      <c r="E502" s="10" t="inlineStr">
        <is>
          <t>45 min</t>
        </is>
      </c>
      <c r="F502" s="10" t="inlineStr">
        <is>
          <t>☐ Not Started</t>
        </is>
      </c>
      <c r="G502" s="10">
        <f>IF(F502="☑ Completed", "COMPLETED", "NOT STARTED")</f>
        <v/>
      </c>
      <c r="H502" s="10" t="inlineStr">
        <is>
          <t>Day 109</t>
        </is>
      </c>
      <c r="I502" s="10" t="inlineStr">
        <is>
          <t>☐ Not Started</t>
        </is>
      </c>
      <c r="J502" s="10" t="inlineStr">
        <is>
          <t>Day 113</t>
        </is>
      </c>
      <c r="K502" s="10" t="inlineStr">
        <is>
          <t>☐ Not Started</t>
        </is>
      </c>
      <c r="L502" s="10" t="inlineStr"/>
    </row>
    <row r="503">
      <c r="A503" s="9" t="inlineStr">
        <is>
          <t>Mock Interviews &amp; Revision</t>
        </is>
      </c>
      <c r="B503" s="9" t="inlineStr">
        <is>
          <t>Full AI/ML Revision</t>
        </is>
      </c>
      <c r="C503" s="9" t="inlineStr">
        <is>
          <t>Comprehensive Review Part 17</t>
        </is>
      </c>
      <c r="D503" s="10" t="inlineStr">
        <is>
          <t>Day 107</t>
        </is>
      </c>
      <c r="E503" s="10" t="inlineStr">
        <is>
          <t>45 min</t>
        </is>
      </c>
      <c r="F503" s="10" t="inlineStr">
        <is>
          <t>☐ Not Started</t>
        </is>
      </c>
      <c r="G503" s="10">
        <f>IF(F503="☑ Completed", "COMPLETED", "NOT STARTED")</f>
        <v/>
      </c>
      <c r="H503" s="10" t="inlineStr">
        <is>
          <t>Day 110</t>
        </is>
      </c>
      <c r="I503" s="10" t="inlineStr">
        <is>
          <t>☐ Not Started</t>
        </is>
      </c>
      <c r="J503" s="10" t="inlineStr">
        <is>
          <t>Day 114</t>
        </is>
      </c>
      <c r="K503" s="10" t="inlineStr">
        <is>
          <t>☐ Not Started</t>
        </is>
      </c>
      <c r="L503" s="10" t="inlineStr"/>
    </row>
    <row r="504">
      <c r="A504" s="9" t="inlineStr">
        <is>
          <t>Mock Interviews &amp; Revision</t>
        </is>
      </c>
      <c r="B504" s="9" t="inlineStr">
        <is>
          <t>Full AI/ML Revision</t>
        </is>
      </c>
      <c r="C504" s="9" t="inlineStr">
        <is>
          <t>Comprehensive Review Part 18</t>
        </is>
      </c>
      <c r="D504" s="10" t="inlineStr">
        <is>
          <t>Day 108</t>
        </is>
      </c>
      <c r="E504" s="10" t="inlineStr">
        <is>
          <t>45 min</t>
        </is>
      </c>
      <c r="F504" s="10" t="inlineStr">
        <is>
          <t>☐ Not Started</t>
        </is>
      </c>
      <c r="G504" s="10">
        <f>IF(F504="☑ Completed", "COMPLETED", "NOT STARTED")</f>
        <v/>
      </c>
      <c r="H504" s="10" t="inlineStr">
        <is>
          <t>Day 111</t>
        </is>
      </c>
      <c r="I504" s="10" t="inlineStr">
        <is>
          <t>☐ Not Started</t>
        </is>
      </c>
      <c r="J504" s="10" t="inlineStr">
        <is>
          <t>Day 115</t>
        </is>
      </c>
      <c r="K504" s="10" t="inlineStr">
        <is>
          <t>☐ Not Started</t>
        </is>
      </c>
      <c r="L504" s="10" t="inlineStr"/>
    </row>
    <row r="505">
      <c r="A505" s="9" t="inlineStr">
        <is>
          <t>Mock Interviews &amp; Revision</t>
        </is>
      </c>
      <c r="B505" s="9" t="inlineStr">
        <is>
          <t>Full AI/ML Revision</t>
        </is>
      </c>
      <c r="C505" s="9" t="inlineStr">
        <is>
          <t>Comprehensive Review Part 19</t>
        </is>
      </c>
      <c r="D505" s="10" t="inlineStr">
        <is>
          <t>Day 109</t>
        </is>
      </c>
      <c r="E505" s="10" t="inlineStr">
        <is>
          <t>45 min</t>
        </is>
      </c>
      <c r="F505" s="10" t="inlineStr">
        <is>
          <t>☐ Not Started</t>
        </is>
      </c>
      <c r="G505" s="10">
        <f>IF(F505="☑ Completed", "COMPLETED", "NOT STARTED")</f>
        <v/>
      </c>
      <c r="H505" s="10" t="inlineStr">
        <is>
          <t>Day 112</t>
        </is>
      </c>
      <c r="I505" s="10" t="inlineStr">
        <is>
          <t>☐ Not Started</t>
        </is>
      </c>
      <c r="J505" s="10" t="inlineStr">
        <is>
          <t>Day 116</t>
        </is>
      </c>
      <c r="K505" s="10" t="inlineStr">
        <is>
          <t>☐ Not Started</t>
        </is>
      </c>
      <c r="L505" s="10" t="inlineStr"/>
    </row>
    <row r="506">
      <c r="A506" s="9" t="inlineStr">
        <is>
          <t>Mock Interviews &amp; Revision</t>
        </is>
      </c>
      <c r="B506" s="9" t="inlineStr">
        <is>
          <t>Full AI/ML Revision</t>
        </is>
      </c>
      <c r="C506" s="9" t="inlineStr">
        <is>
          <t>Comprehensive Review Part 20</t>
        </is>
      </c>
      <c r="D506" s="10" t="inlineStr">
        <is>
          <t>Day 110</t>
        </is>
      </c>
      <c r="E506" s="10" t="inlineStr">
        <is>
          <t>45 min</t>
        </is>
      </c>
      <c r="F506" s="10" t="inlineStr">
        <is>
          <t>☐ Not Started</t>
        </is>
      </c>
      <c r="G506" s="10">
        <f>IF(F506="☑ Completed", "COMPLETED", "NOT STARTED")</f>
        <v/>
      </c>
      <c r="H506" s="10" t="inlineStr">
        <is>
          <t>Day 113</t>
        </is>
      </c>
      <c r="I506" s="10" t="inlineStr">
        <is>
          <t>☐ Not Started</t>
        </is>
      </c>
      <c r="J506" s="10" t="inlineStr">
        <is>
          <t>Day 117</t>
        </is>
      </c>
      <c r="K506" s="10" t="inlineStr">
        <is>
          <t>☐ Not Started</t>
        </is>
      </c>
      <c r="L506" s="10" t="inlineStr"/>
    </row>
    <row r="507">
      <c r="A507" s="9" t="inlineStr">
        <is>
          <t>Mock Interviews &amp; Revision</t>
        </is>
      </c>
      <c r="B507" s="9" t="inlineStr">
        <is>
          <t>Full AI/ML Revision</t>
        </is>
      </c>
      <c r="C507" s="9" t="inlineStr">
        <is>
          <t>Comprehensive Review Part 21</t>
        </is>
      </c>
      <c r="D507" s="10" t="inlineStr">
        <is>
          <t>Day 111</t>
        </is>
      </c>
      <c r="E507" s="10" t="inlineStr">
        <is>
          <t>45 min</t>
        </is>
      </c>
      <c r="F507" s="10" t="inlineStr">
        <is>
          <t>☐ Not Started</t>
        </is>
      </c>
      <c r="G507" s="10">
        <f>IF(F507="☑ Completed", "COMPLETED", "NOT STARTED")</f>
        <v/>
      </c>
      <c r="H507" s="10" t="inlineStr">
        <is>
          <t>Day 114</t>
        </is>
      </c>
      <c r="I507" s="10" t="inlineStr">
        <is>
          <t>☐ Not Started</t>
        </is>
      </c>
      <c r="J507" s="10" t="inlineStr">
        <is>
          <t>Day 118</t>
        </is>
      </c>
      <c r="K507" s="10" t="inlineStr">
        <is>
          <t>☐ Not Started</t>
        </is>
      </c>
      <c r="L507" s="10" t="inlineStr"/>
    </row>
    <row r="508">
      <c r="A508" s="9" t="inlineStr">
        <is>
          <t>Mock Interviews &amp; Revision</t>
        </is>
      </c>
      <c r="B508" s="9" t="inlineStr">
        <is>
          <t>Full AI/ML Revision</t>
        </is>
      </c>
      <c r="C508" s="9" t="inlineStr">
        <is>
          <t>Comprehensive Review Part 22</t>
        </is>
      </c>
      <c r="D508" s="10" t="inlineStr">
        <is>
          <t>Day 112</t>
        </is>
      </c>
      <c r="E508" s="10" t="inlineStr">
        <is>
          <t>45 min</t>
        </is>
      </c>
      <c r="F508" s="10" t="inlineStr">
        <is>
          <t>☐ Not Started</t>
        </is>
      </c>
      <c r="G508" s="10">
        <f>IF(F508="☑ Completed", "COMPLETED", "NOT STARTED")</f>
        <v/>
      </c>
      <c r="H508" s="10" t="inlineStr">
        <is>
          <t>Day 115</t>
        </is>
      </c>
      <c r="I508" s="10" t="inlineStr">
        <is>
          <t>☐ Not Started</t>
        </is>
      </c>
      <c r="J508" s="10" t="inlineStr">
        <is>
          <t>Day 119</t>
        </is>
      </c>
      <c r="K508" s="10" t="inlineStr">
        <is>
          <t>☐ Not Started</t>
        </is>
      </c>
      <c r="L508" s="10" t="inlineStr"/>
    </row>
    <row r="509">
      <c r="A509" s="9" t="inlineStr">
        <is>
          <t>Mock Interviews &amp; Revision</t>
        </is>
      </c>
      <c r="B509" s="9" t="inlineStr">
        <is>
          <t>Full AI/ML Revision</t>
        </is>
      </c>
      <c r="C509" s="9" t="inlineStr">
        <is>
          <t>Comprehensive Review Part 23</t>
        </is>
      </c>
      <c r="D509" s="10" t="inlineStr">
        <is>
          <t>Day 113</t>
        </is>
      </c>
      <c r="E509" s="10" t="inlineStr">
        <is>
          <t>45 min</t>
        </is>
      </c>
      <c r="F509" s="10" t="inlineStr">
        <is>
          <t>☐ Not Started</t>
        </is>
      </c>
      <c r="G509" s="10">
        <f>IF(F509="☑ Completed", "COMPLETED", "NOT STARTED")</f>
        <v/>
      </c>
      <c r="H509" s="10" t="inlineStr">
        <is>
          <t>Day 116</t>
        </is>
      </c>
      <c r="I509" s="10" t="inlineStr">
        <is>
          <t>☐ Not Started</t>
        </is>
      </c>
      <c r="J509" s="10" t="inlineStr">
        <is>
          <t>Day 120</t>
        </is>
      </c>
      <c r="K509" s="10" t="inlineStr">
        <is>
          <t>☐ Not Started</t>
        </is>
      </c>
      <c r="L509" s="10" t="inlineStr"/>
    </row>
    <row r="510">
      <c r="A510" s="9" t="inlineStr">
        <is>
          <t>Mock Interviews &amp; Revision</t>
        </is>
      </c>
      <c r="B510" s="9" t="inlineStr">
        <is>
          <t>Full AI/ML Revision</t>
        </is>
      </c>
      <c r="C510" s="9" t="inlineStr">
        <is>
          <t>Comprehensive Review Part 24</t>
        </is>
      </c>
      <c r="D510" s="10" t="inlineStr">
        <is>
          <t>Day 114</t>
        </is>
      </c>
      <c r="E510" s="10" t="inlineStr">
        <is>
          <t>45 min</t>
        </is>
      </c>
      <c r="F510" s="10" t="inlineStr">
        <is>
          <t>☐ Not Started</t>
        </is>
      </c>
      <c r="G510" s="10">
        <f>IF(F510="☑ Completed", "COMPLETED", "NOT STARTED")</f>
        <v/>
      </c>
      <c r="H510" s="10" t="inlineStr">
        <is>
          <t>Day 117</t>
        </is>
      </c>
      <c r="I510" s="10" t="inlineStr">
        <is>
          <t>☐ Not Started</t>
        </is>
      </c>
      <c r="J510" s="10" t="inlineStr">
        <is>
          <t>Day 121</t>
        </is>
      </c>
      <c r="K510" s="10" t="inlineStr">
        <is>
          <t>☐ Not Started</t>
        </is>
      </c>
      <c r="L510" s="10" t="inlineStr"/>
    </row>
    <row r="511">
      <c r="A511" s="9" t="inlineStr">
        <is>
          <t>Mock Interviews &amp; Revision</t>
        </is>
      </c>
      <c r="B511" s="9" t="inlineStr">
        <is>
          <t>Full AI/ML Revision</t>
        </is>
      </c>
      <c r="C511" s="9" t="inlineStr">
        <is>
          <t>Comprehensive Review Part 25</t>
        </is>
      </c>
      <c r="D511" s="10" t="inlineStr">
        <is>
          <t>Day 115</t>
        </is>
      </c>
      <c r="E511" s="10" t="inlineStr">
        <is>
          <t>45 min</t>
        </is>
      </c>
      <c r="F511" s="10" t="inlineStr">
        <is>
          <t>☐ Not Started</t>
        </is>
      </c>
      <c r="G511" s="10">
        <f>IF(F511="☑ Completed", "COMPLETED", "NOT STARTED")</f>
        <v/>
      </c>
      <c r="H511" s="10" t="inlineStr">
        <is>
          <t>Day 118</t>
        </is>
      </c>
      <c r="I511" s="10" t="inlineStr">
        <is>
          <t>☐ Not Started</t>
        </is>
      </c>
      <c r="J511" s="10" t="inlineStr">
        <is>
          <t>Day 122</t>
        </is>
      </c>
      <c r="K511" s="10" t="inlineStr">
        <is>
          <t>☐ Not Started</t>
        </is>
      </c>
      <c r="L511" s="10" t="inlineStr"/>
    </row>
    <row r="512">
      <c r="A512" s="9" t="inlineStr">
        <is>
          <t>Mock Interviews &amp; Revision</t>
        </is>
      </c>
      <c r="B512" s="9" t="inlineStr">
        <is>
          <t>Full AI/ML Revision</t>
        </is>
      </c>
      <c r="C512" s="9" t="inlineStr">
        <is>
          <t>Comprehensive Review Part 26</t>
        </is>
      </c>
      <c r="D512" s="10" t="inlineStr">
        <is>
          <t>Day 116</t>
        </is>
      </c>
      <c r="E512" s="10" t="inlineStr">
        <is>
          <t>45 min</t>
        </is>
      </c>
      <c r="F512" s="10" t="inlineStr">
        <is>
          <t>☐ Not Started</t>
        </is>
      </c>
      <c r="G512" s="10">
        <f>IF(F512="☑ Completed", "COMPLETED", "NOT STARTED")</f>
        <v/>
      </c>
      <c r="H512" s="10" t="inlineStr">
        <is>
          <t>Day 119</t>
        </is>
      </c>
      <c r="I512" s="10" t="inlineStr">
        <is>
          <t>☐ Not Started</t>
        </is>
      </c>
      <c r="J512" s="10" t="inlineStr">
        <is>
          <t>Day 123</t>
        </is>
      </c>
      <c r="K512" s="10" t="inlineStr">
        <is>
          <t>☐ Not Started</t>
        </is>
      </c>
      <c r="L512" s="10" t="inlineStr"/>
    </row>
    <row r="513">
      <c r="A513" s="9" t="inlineStr">
        <is>
          <t>Mock Interviews &amp; Revision</t>
        </is>
      </c>
      <c r="B513" s="9" t="inlineStr">
        <is>
          <t>Full AI/ML Revision</t>
        </is>
      </c>
      <c r="C513" s="9" t="inlineStr">
        <is>
          <t>Comprehensive Review Part 27</t>
        </is>
      </c>
      <c r="D513" s="10" t="inlineStr">
        <is>
          <t>Day 117</t>
        </is>
      </c>
      <c r="E513" s="10" t="inlineStr">
        <is>
          <t>45 min</t>
        </is>
      </c>
      <c r="F513" s="10" t="inlineStr">
        <is>
          <t>☐ Not Started</t>
        </is>
      </c>
      <c r="G513" s="10">
        <f>IF(F513="☑ Completed", "COMPLETED", "NOT STARTED")</f>
        <v/>
      </c>
      <c r="H513" s="10" t="inlineStr">
        <is>
          <t>Day 120</t>
        </is>
      </c>
      <c r="I513" s="10" t="inlineStr">
        <is>
          <t>☐ Not Started</t>
        </is>
      </c>
      <c r="J513" s="10" t="inlineStr">
        <is>
          <t>Day 124</t>
        </is>
      </c>
      <c r="K513" s="10" t="inlineStr">
        <is>
          <t>☐ Not Started</t>
        </is>
      </c>
      <c r="L513" s="10" t="inlineStr"/>
    </row>
    <row r="514">
      <c r="A514" s="9" t="inlineStr">
        <is>
          <t>Mock Interviews &amp; Revision</t>
        </is>
      </c>
      <c r="B514" s="9" t="inlineStr">
        <is>
          <t>Full AI/ML Revision</t>
        </is>
      </c>
      <c r="C514" s="9" t="inlineStr">
        <is>
          <t>Comprehensive Review Part 28</t>
        </is>
      </c>
      <c r="D514" s="10" t="inlineStr">
        <is>
          <t>Day 118</t>
        </is>
      </c>
      <c r="E514" s="10" t="inlineStr">
        <is>
          <t>45 min</t>
        </is>
      </c>
      <c r="F514" s="10" t="inlineStr">
        <is>
          <t>☐ Not Started</t>
        </is>
      </c>
      <c r="G514" s="10">
        <f>IF(F514="☑ Completed", "COMPLETED", "NOT STARTED")</f>
        <v/>
      </c>
      <c r="H514" s="10" t="inlineStr">
        <is>
          <t>Day 121</t>
        </is>
      </c>
      <c r="I514" s="10" t="inlineStr">
        <is>
          <t>☐ Not Started</t>
        </is>
      </c>
      <c r="J514" s="10" t="inlineStr">
        <is>
          <t>Day 125</t>
        </is>
      </c>
      <c r="K514" s="10" t="inlineStr">
        <is>
          <t>☐ Not Started</t>
        </is>
      </c>
      <c r="L514" s="10" t="inlineStr"/>
    </row>
    <row r="515">
      <c r="A515" s="9" t="inlineStr">
        <is>
          <t>Mock Interviews &amp; Revision</t>
        </is>
      </c>
      <c r="B515" s="9" t="inlineStr">
        <is>
          <t>Full AI/ML Revision</t>
        </is>
      </c>
      <c r="C515" s="9" t="inlineStr">
        <is>
          <t>Comprehensive Review Part 29</t>
        </is>
      </c>
      <c r="D515" s="10" t="inlineStr">
        <is>
          <t>Day 119</t>
        </is>
      </c>
      <c r="E515" s="10" t="inlineStr">
        <is>
          <t>45 min</t>
        </is>
      </c>
      <c r="F515" s="10" t="inlineStr">
        <is>
          <t>☐ Not Started</t>
        </is>
      </c>
      <c r="G515" s="10">
        <f>IF(F515="☑ Completed", "COMPLETED", "NOT STARTED")</f>
        <v/>
      </c>
      <c r="H515" s="10" t="inlineStr">
        <is>
          <t>Day 122</t>
        </is>
      </c>
      <c r="I515" s="10" t="inlineStr">
        <is>
          <t>☐ Not Started</t>
        </is>
      </c>
      <c r="J515" s="10" t="inlineStr">
        <is>
          <t>Day 126</t>
        </is>
      </c>
      <c r="K515" s="10" t="inlineStr">
        <is>
          <t>☐ Not Started</t>
        </is>
      </c>
      <c r="L515" s="10" t="inlineStr"/>
    </row>
    <row r="516">
      <c r="A516" s="9" t="inlineStr">
        <is>
          <t>Mock Interviews &amp; Revision</t>
        </is>
      </c>
      <c r="B516" s="9" t="inlineStr">
        <is>
          <t>Full AI/ML Revision</t>
        </is>
      </c>
      <c r="C516" s="9" t="inlineStr">
        <is>
          <t>Comprehensive Review Part 30</t>
        </is>
      </c>
      <c r="D516" s="10" t="inlineStr">
        <is>
          <t>Day 120</t>
        </is>
      </c>
      <c r="E516" s="10" t="inlineStr">
        <is>
          <t>45 min</t>
        </is>
      </c>
      <c r="F516" s="10" t="inlineStr">
        <is>
          <t>☐ Not Started</t>
        </is>
      </c>
      <c r="G516" s="10">
        <f>IF(F516="☑ Completed", "COMPLETED", "NOT STARTED")</f>
        <v/>
      </c>
      <c r="H516" s="10" t="inlineStr">
        <is>
          <t>Day 123</t>
        </is>
      </c>
      <c r="I516" s="10" t="inlineStr">
        <is>
          <t>☐ Not Started</t>
        </is>
      </c>
      <c r="J516" s="10" t="inlineStr">
        <is>
          <t>Day 127</t>
        </is>
      </c>
      <c r="K516" s="10" t="inlineStr">
        <is>
          <t>☐ Not Started</t>
        </is>
      </c>
      <c r="L516" s="10" t="inlineStr"/>
    </row>
  </sheetData>
  <autoFilter ref="A1:L516"/>
  <conditionalFormatting sqref="F2:G516">
    <cfRule type="expression" priority="1" dxfId="0" stopIfTrue="1">
      <formula>G2="COMPLETED"</formula>
    </cfRule>
  </conditionalFormatting>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showDropDown="0" showInputMessage="0" showErrorMessage="0" allowBlank="1" type="list">
      <formula1>"☐ Not Started,☑ Completed"</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showDropDown="0" showInputMessage="0" showErrorMessage="0" allowBlank="1" type="list">
      <formula1>"1 - Low,2 - Fair,3 - Good,4 - High,5 - Mastered"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2026-08-30T16:11:39Z</dcterms:created>
  <dcterms:modified xmlns:dcterms="http://purl.org/dc/terms/" xmlns:xsi="http://www.w3.org/2001/XMLSchema-instance" xsi:type="dcterms:W3CDTF">2026-08-30T16:11:42Z</dcterms:modified>
</cp:coreProperties>
</file>